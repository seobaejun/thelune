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2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YOON\Desktop\0.MarkYoon\0.업무\6.더룬 (THE LUNE)\"/>
    </mc:Choice>
  </mc:AlternateContent>
  <xr:revisionPtr revIDLastSave="0" documentId="13_ncr:1_{22B080F5-7B88-4886-8C2B-DC0B5259577C}" xr6:coauthVersionLast="47" xr6:coauthVersionMax="47" xr10:uidLastSave="{00000000-0000-0000-0000-000000000000}"/>
  <bookViews>
    <workbookView xWindow="-120" yWindow="-120" windowWidth="29040" windowHeight="15720" activeTab="1" xr2:uid="{95ED180B-E28A-4377-A891-41E54967D1D2}"/>
  </bookViews>
  <sheets>
    <sheet name="PA7" sheetId="14" r:id="rId1"/>
    <sheet name="PA4" sheetId="15" r:id="rId2"/>
  </sheets>
  <definedNames>
    <definedName name="_xlnm.Print_Area" localSheetId="1">'PA4'!$A$1:$Y$53</definedName>
    <definedName name="_xlnm.Print_Area" localSheetId="0">'PA7'!$A$1:$Y$51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4" l="1"/>
  <c r="K52" i="15"/>
  <c r="Z23" i="15"/>
  <c r="J48" i="15" l="1"/>
  <c r="R46" i="15"/>
  <c r="Q46" i="15"/>
  <c r="P46" i="15"/>
  <c r="O46" i="15"/>
  <c r="N46" i="15"/>
  <c r="F46" i="15"/>
  <c r="E46" i="15"/>
  <c r="D46" i="15"/>
  <c r="C46" i="15"/>
  <c r="B46" i="15"/>
  <c r="N13" i="15"/>
  <c r="B13" i="15"/>
  <c r="Z8" i="15"/>
  <c r="R6" i="15"/>
  <c r="J6" i="15"/>
  <c r="J46" i="14"/>
  <c r="R44" i="14"/>
  <c r="Q44" i="14"/>
  <c r="P44" i="14"/>
  <c r="O44" i="14"/>
  <c r="N44" i="14"/>
  <c r="F44" i="14"/>
  <c r="E44" i="14"/>
  <c r="D44" i="14"/>
  <c r="C44" i="14"/>
  <c r="B44" i="14"/>
  <c r="N13" i="14"/>
  <c r="B13" i="14"/>
  <c r="Z8" i="14"/>
  <c r="R6" i="14"/>
  <c r="J6" i="14"/>
  <c r="Z44" i="14" l="1"/>
  <c r="T46" i="14" s="1"/>
  <c r="Z46" i="15"/>
  <c r="T48" i="15" s="1"/>
  <c r="Z13" i="15"/>
  <c r="B48" i="15" s="1"/>
  <c r="Z13" i="14"/>
  <c r="B46" i="14" s="1"/>
  <c r="K48" i="14" l="1"/>
  <c r="K50" i="15"/>
</calcChain>
</file>

<file path=xl/sharedStrings.xml><?xml version="1.0" encoding="utf-8"?>
<sst xmlns="http://schemas.openxmlformats.org/spreadsheetml/2006/main" count="191" uniqueCount="103">
  <si>
    <t>고객
사항</t>
    <phoneticPr fontId="1" type="noConversion"/>
  </si>
  <si>
    <t>상 호</t>
    <phoneticPr fontId="1" type="noConversion"/>
  </si>
  <si>
    <t>성 명</t>
    <phoneticPr fontId="1" type="noConversion"/>
  </si>
  <si>
    <t>주 소</t>
    <phoneticPr fontId="1" type="noConversion"/>
  </si>
  <si>
    <t>사업자등록번호</t>
    <phoneticPr fontId="1" type="noConversion"/>
  </si>
  <si>
    <t>주민등록번호</t>
    <phoneticPr fontId="1" type="noConversion"/>
  </si>
  <si>
    <t>■ 차량 선택 옵션</t>
    <phoneticPr fontId="1" type="noConversion"/>
  </si>
  <si>
    <t>유 종</t>
    <phoneticPr fontId="1" type="noConversion"/>
  </si>
  <si>
    <t>연락처</t>
    <phoneticPr fontId="1" type="noConversion"/>
  </si>
  <si>
    <t>e-mail</t>
    <phoneticPr fontId="1" type="noConversion"/>
  </si>
  <si>
    <t>트림선택</t>
    <phoneticPr fontId="1" type="noConversion"/>
  </si>
  <si>
    <t>시그니처</t>
    <phoneticPr fontId="1" type="noConversion"/>
  </si>
  <si>
    <t>가솔린</t>
    <phoneticPr fontId="1" type="noConversion"/>
  </si>
  <si>
    <t>하이브리드</t>
    <phoneticPr fontId="1" type="noConversion"/>
  </si>
  <si>
    <t>외장컬러</t>
    <phoneticPr fontId="1" type="noConversion"/>
  </si>
  <si>
    <t>내장
인테리어</t>
    <phoneticPr fontId="1" type="noConversion"/>
  </si>
  <si>
    <t>오로라 블랙 펄</t>
    <phoneticPr fontId="1" type="noConversion"/>
  </si>
  <si>
    <t>스노우 화이트 펄</t>
    <phoneticPr fontId="1" type="noConversion"/>
  </si>
  <si>
    <t>토프 인테리어</t>
    <phoneticPr fontId="1" type="noConversion"/>
  </si>
  <si>
    <t>코튼 베이지</t>
    <phoneticPr fontId="1" type="noConversion"/>
  </si>
  <si>
    <t>■ 기본 컨버전 옵션</t>
    <phoneticPr fontId="1" type="noConversion"/>
  </si>
  <si>
    <t>루 프</t>
    <phoneticPr fontId="1" type="noConversion"/>
  </si>
  <si>
    <t>1 열</t>
    <phoneticPr fontId="1" type="noConversion"/>
  </si>
  <si>
    <t>2 열</t>
    <phoneticPr fontId="1" type="noConversion"/>
  </si>
  <si>
    <t xml:space="preserve">바닥제 </t>
    <phoneticPr fontId="1" type="noConversion"/>
  </si>
  <si>
    <t>무드등</t>
    <phoneticPr fontId="1" type="noConversion"/>
  </si>
  <si>
    <t>T V</t>
    <phoneticPr fontId="1" type="noConversion"/>
  </si>
  <si>
    <t>방진/방음</t>
    <phoneticPr fontId="1" type="noConversion"/>
  </si>
  <si>
    <t xml:space="preserve"> 기본 방진 방음 패드 시공</t>
    <phoneticPr fontId="1" type="noConversion"/>
  </si>
  <si>
    <t>쿠 션</t>
    <phoneticPr fontId="1" type="noConversion"/>
  </si>
  <si>
    <t>사이드스텝</t>
    <phoneticPr fontId="1" type="noConversion"/>
  </si>
  <si>
    <t>스타라이트</t>
    <phoneticPr fontId="1" type="noConversion"/>
  </si>
  <si>
    <t xml:space="preserve"> 파이버 테리어</t>
    <phoneticPr fontId="1" type="noConversion"/>
  </si>
  <si>
    <t>커 튼</t>
    <phoneticPr fontId="1" type="noConversion"/>
  </si>
  <si>
    <t xml:space="preserve"> 주름 커튼</t>
    <phoneticPr fontId="1" type="noConversion"/>
  </si>
  <si>
    <t>3 열</t>
    <phoneticPr fontId="1" type="noConversion"/>
  </si>
  <si>
    <t>트리밍</t>
  </si>
  <si>
    <t>도어스커프</t>
    <phoneticPr fontId="1" type="noConversion"/>
  </si>
  <si>
    <t xml:space="preserve"> 2열 자동문 도어 스커프 </t>
    <phoneticPr fontId="1" type="noConversion"/>
  </si>
  <si>
    <t xml:space="preserve"> 목 쿠션 6EA / 허리쿠션 4EA</t>
    <phoneticPr fontId="1" type="noConversion"/>
  </si>
  <si>
    <t>그 외</t>
    <phoneticPr fontId="1" type="noConversion"/>
  </si>
  <si>
    <t>■ 컨버전 옵션 선택</t>
    <phoneticPr fontId="1" type="noConversion"/>
  </si>
  <si>
    <t>바닥 종류</t>
    <phoneticPr fontId="1" type="noConversion"/>
  </si>
  <si>
    <t xml:space="preserve">천 장 </t>
    <phoneticPr fontId="1" type="noConversion"/>
  </si>
  <si>
    <t>( 트리밍 색상 )</t>
    <phoneticPr fontId="1" type="noConversion"/>
  </si>
  <si>
    <t>콘솔 헤드</t>
    <phoneticPr fontId="1" type="noConversion"/>
  </si>
  <si>
    <t>시 트</t>
    <phoneticPr fontId="1" type="noConversion"/>
  </si>
  <si>
    <t xml:space="preserve">러 기 지 </t>
    <phoneticPr fontId="1" type="noConversion"/>
  </si>
  <si>
    <t xml:space="preserve">도 어 </t>
    <phoneticPr fontId="1" type="noConversion"/>
  </si>
  <si>
    <t xml:space="preserve">트 렁 크 </t>
    <phoneticPr fontId="1" type="noConversion"/>
  </si>
  <si>
    <t>■ 추가 옵션</t>
    <phoneticPr fontId="1" type="noConversion"/>
  </si>
  <si>
    <t>■ 견적 합계</t>
    <phoneticPr fontId="1" type="noConversion"/>
  </si>
  <si>
    <t>차량금액</t>
    <phoneticPr fontId="1" type="noConversion"/>
  </si>
  <si>
    <t>컨버전 금액</t>
    <phoneticPr fontId="1" type="noConversion"/>
  </si>
  <si>
    <t>컨버전 추가 옵션 금액</t>
    <phoneticPr fontId="1" type="noConversion"/>
  </si>
  <si>
    <t>총 합계</t>
    <phoneticPr fontId="1" type="noConversion"/>
  </si>
  <si>
    <t>계약금</t>
    <phoneticPr fontId="1" type="noConversion"/>
  </si>
  <si>
    <t>잔  금</t>
    <phoneticPr fontId="1" type="noConversion"/>
  </si>
  <si>
    <t>하프 랩핑</t>
    <phoneticPr fontId="1" type="noConversion"/>
  </si>
  <si>
    <t xml:space="preserve"> 카니발 전용 HI-Roof</t>
    <phoneticPr fontId="1" type="noConversion"/>
  </si>
  <si>
    <t xml:space="preserve"> 1열 버킷 나파 가죽 시트</t>
    <phoneticPr fontId="1" type="noConversion"/>
  </si>
  <si>
    <t xml:space="preserve"> 도어 트리밍 4PS / 천정 트리밍, 콘솔 트리밍 / 러기지 트리밍, 트렁크 트리밍</t>
    <phoneticPr fontId="1" type="noConversion"/>
  </si>
  <si>
    <t xml:space="preserve"> 최고급 요트 바닥 헤링본 우드 플로어</t>
    <phoneticPr fontId="1" type="noConversion"/>
  </si>
  <si>
    <t xml:space="preserve"> 천정 메인 무드등 , 사이드 엠비언트 무드등</t>
    <phoneticPr fontId="1" type="noConversion"/>
  </si>
  <si>
    <t xml:space="preserve"> 27인치 스마트 TV</t>
    <phoneticPr fontId="1" type="noConversion"/>
  </si>
  <si>
    <t>4 열</t>
  </si>
  <si>
    <t>( 우드 플로어 / 색상 )</t>
    <phoneticPr fontId="1" type="noConversion"/>
  </si>
  <si>
    <t>( 커튼 / 색상 )</t>
    <phoneticPr fontId="1" type="noConversion"/>
  </si>
  <si>
    <t xml:space="preserve">( 트리밍 색상 A,B,C ) </t>
    <phoneticPr fontId="1" type="noConversion"/>
  </si>
  <si>
    <t xml:space="preserve"> 고정식 사이드 스텝</t>
    <phoneticPr fontId="1" type="noConversion"/>
  </si>
  <si>
    <t xml:space="preserve"> </t>
    <phoneticPr fontId="1" type="noConversion"/>
  </si>
  <si>
    <t>네이비 그레이 (HEV전용)</t>
    <phoneticPr fontId="1" type="noConversion"/>
  </si>
  <si>
    <t>추가
옵션</t>
    <phoneticPr fontId="1" type="noConversion"/>
  </si>
  <si>
    <t>D컷 핸들</t>
    <phoneticPr fontId="1" type="noConversion"/>
  </si>
  <si>
    <t>HSD Front(앞) 브레이크 SET</t>
    <phoneticPr fontId="1" type="noConversion"/>
  </si>
  <si>
    <t>X-LINE</t>
    <phoneticPr fontId="1" type="noConversion"/>
  </si>
  <si>
    <t>순정 옵션</t>
    <phoneticPr fontId="1" type="noConversion"/>
  </si>
  <si>
    <t>풀 옵션 (스타일 / 드라이브 와이즈 / 모니터링 팩 / 스마트 커넥트 / HUD+빌트인 캠2 / BOSS 사운드 / 컴포트)</t>
    <phoneticPr fontId="1" type="noConversion"/>
  </si>
  <si>
    <t>세라믹 실버 (X-LINE)</t>
    <phoneticPr fontId="1" type="noConversion"/>
  </si>
  <si>
    <t xml:space="preserve"> 2열 VVIP 8WAY 전동 마사지 의전 시트 (메모리 시트/열선/통풍/안마/충전포트)</t>
    <phoneticPr fontId="1" type="noConversion"/>
  </si>
  <si>
    <t xml:space="preserve"> 3열 침대형 전동 시트 (180도 앞,뒤 폴딩/열선/통풍/컵홀더)</t>
    <phoneticPr fontId="1" type="noConversion"/>
  </si>
  <si>
    <t xml:space="preserve"> 4열 싱킹 시트 유지</t>
    <phoneticPr fontId="1" type="noConversion"/>
  </si>
  <si>
    <t>AG 자동 사이드 스텝</t>
    <phoneticPr fontId="1" type="noConversion"/>
  </si>
  <si>
    <t xml:space="preserve"> 견 적 서</t>
    <phoneticPr fontId="1" type="noConversion"/>
  </si>
  <si>
    <t>DOS 핸들</t>
    <phoneticPr fontId="1" type="noConversion"/>
  </si>
  <si>
    <t>HSD Front(뒤) 브레이크 SET</t>
    <phoneticPr fontId="1" type="noConversion"/>
  </si>
  <si>
    <t>HSD 서스펜션 SET</t>
    <phoneticPr fontId="1" type="noConversion"/>
  </si>
  <si>
    <t xml:space="preserve"> 4열 싱킹 시트 제거 후 수납 함 설치</t>
    <phoneticPr fontId="1" type="noConversion"/>
  </si>
  <si>
    <t>파티션</t>
    <phoneticPr fontId="1" type="noConversion"/>
  </si>
  <si>
    <t xml:space="preserve"> 목 쿠션 4EA / 허리쿠션 4EA</t>
    <phoneticPr fontId="1" type="noConversion"/>
  </si>
  <si>
    <t xml:space="preserve"> 자동식 사이드 스텝</t>
    <phoneticPr fontId="1" type="noConversion"/>
  </si>
  <si>
    <t xml:space="preserve"> 하프 파티션 장착 (수납함 설치)</t>
    <phoneticPr fontId="1" type="noConversion"/>
  </si>
  <si>
    <t>핸들</t>
    <phoneticPr fontId="1" type="noConversion"/>
  </si>
  <si>
    <t xml:space="preserve"> DOS 핸들 장착</t>
    <phoneticPr fontId="1" type="noConversion"/>
  </si>
  <si>
    <t>바디킷</t>
    <phoneticPr fontId="1" type="noConversion"/>
  </si>
  <si>
    <t xml:space="preserve"> AG 바디킷 (에어댐) 장착</t>
    <phoneticPr fontId="1" type="noConversion"/>
  </si>
  <si>
    <t xml:space="preserve"> 스피커 커버 , 프리미엄 틴팅</t>
    <phoneticPr fontId="1" type="noConversion"/>
  </si>
  <si>
    <t xml:space="preserve"> 러기지형 팔걸이 </t>
    <phoneticPr fontId="1" type="noConversion"/>
  </si>
  <si>
    <t xml:space="preserve"> 허니콤 블라인드</t>
    <phoneticPr fontId="1" type="noConversion"/>
  </si>
  <si>
    <t>전동 사이드 스텝</t>
    <phoneticPr fontId="1" type="noConversion"/>
  </si>
  <si>
    <t xml:space="preserve"> 프리미엄 틴팅 </t>
    <phoneticPr fontId="1" type="noConversion"/>
  </si>
  <si>
    <t>프로모션 금액 (선착순 10대 한정 금액)</t>
    <phoneticPr fontId="1" type="noConversion"/>
  </si>
  <si>
    <t>프로모션 금액 (선착순 2대 한정 금액)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</si>
</sst>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176" formatCode="&quot;₩&quot;#,##0"/>
    <numFmt numFmtId="177" formatCode="&quot;₩&quot;#,##0_);[Red]\(&quot;₩&quot;#,##0\)"/>
    <numFmt numFmtId="178" formatCode=";;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8"/>
      <color theme="1"/>
      <name val="함초롬바탕"/>
      <family val="1"/>
      <charset val="129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dashed">
        <color theme="6" tint="0.39994506668294322"/>
      </left>
      <right style="dashed">
        <color theme="6" tint="0.39994506668294322"/>
      </right>
      <top style="thin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/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thin">
        <color theme="6" tint="0.39994506668294322"/>
      </bottom>
      <diagonal/>
    </border>
    <border>
      <left style="dashed">
        <color theme="6" tint="0.39994506668294322"/>
      </left>
      <right/>
      <top style="dashed">
        <color theme="6" tint="0.39994506668294322"/>
      </top>
      <bottom style="thin">
        <color theme="6" tint="0.39994506668294322"/>
      </bottom>
      <diagonal/>
    </border>
    <border>
      <left/>
      <right/>
      <top style="thin">
        <color theme="6" tint="0.39994506668294322"/>
      </top>
      <bottom/>
      <diagonal/>
    </border>
    <border>
      <left/>
      <right/>
      <top style="thin">
        <color theme="6" tint="0.39994506668294322"/>
      </top>
      <bottom style="dashed">
        <color theme="6" tint="0.39991454817346722"/>
      </bottom>
      <diagonal/>
    </border>
    <border>
      <left/>
      <right/>
      <top style="thin">
        <color theme="6" tint="0.39988402966399123"/>
      </top>
      <bottom style="dashed">
        <color theme="6" tint="0.39988402966399123"/>
      </bottom>
      <diagonal/>
    </border>
    <border>
      <left/>
      <right style="dashed">
        <color theme="6" tint="0.39988402966399123"/>
      </right>
      <top style="thin">
        <color theme="6" tint="0.39988402966399123"/>
      </top>
      <bottom style="dashed">
        <color theme="6" tint="0.39988402966399123"/>
      </bottom>
      <diagonal/>
    </border>
    <border>
      <left style="dashed">
        <color theme="6" tint="0.39988402966399123"/>
      </left>
      <right/>
      <top style="thin">
        <color theme="6" tint="0.39988402966399123"/>
      </top>
      <bottom style="dashed">
        <color theme="6" tint="0.39988402966399123"/>
      </bottom>
      <diagonal/>
    </border>
    <border>
      <left/>
      <right style="dashed">
        <color theme="6" tint="0.39985351115451523"/>
      </right>
      <top style="thin">
        <color theme="6" tint="0.39988402966399123"/>
      </top>
      <bottom style="dashed">
        <color theme="6" tint="0.39988402966399123"/>
      </bottom>
      <diagonal/>
    </border>
    <border>
      <left style="thin">
        <color theme="6" tint="0.39994506668294322"/>
      </left>
      <right style="dashed">
        <color theme="6" tint="0.39994506668294322"/>
      </right>
      <top style="thin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dashed">
        <color theme="6" tint="0.39994506668294322"/>
      </bottom>
      <diagonal/>
    </border>
    <border>
      <left style="thin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 style="thin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 style="thin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thin">
        <color theme="6" tint="0.39994506668294322"/>
      </bottom>
      <diagonal/>
    </border>
    <border>
      <left style="dashed">
        <color theme="6" tint="0.39994506668294322"/>
      </left>
      <right style="thin">
        <color theme="6" tint="0.39994506668294322"/>
      </right>
      <top style="dashed">
        <color theme="6" tint="0.39994506668294322"/>
      </top>
      <bottom style="thin">
        <color theme="6" tint="0.39994506668294322"/>
      </bottom>
      <diagonal/>
    </border>
    <border>
      <left style="thin">
        <color theme="6" tint="0.39991454817346722"/>
      </left>
      <right style="dashed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 style="thin">
        <color theme="6" tint="0.39991454817346722"/>
      </right>
      <top style="dashed">
        <color theme="6" tint="0.39994506668294322"/>
      </top>
      <bottom style="dashed">
        <color theme="6" tint="0.39994506668294322"/>
      </bottom>
      <diagonal/>
    </border>
    <border>
      <left/>
      <right/>
      <top/>
      <bottom style="thin">
        <color theme="6" tint="0.39994506668294322"/>
      </bottom>
      <diagonal/>
    </border>
    <border>
      <left/>
      <right/>
      <top style="dashed">
        <color theme="6" tint="0.39994506668294322"/>
      </top>
      <bottom style="dashed">
        <color theme="6" tint="0.39994506668294322"/>
      </bottom>
      <diagonal/>
    </border>
    <border>
      <left/>
      <right style="thin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/>
      <right/>
      <top style="dashed">
        <color theme="6" tint="0.39994506668294322"/>
      </top>
      <bottom style="thin">
        <color theme="6" tint="0.39994506668294322"/>
      </bottom>
      <diagonal/>
    </border>
    <border>
      <left style="thin">
        <color theme="6" tint="0.39991454817346722"/>
      </left>
      <right/>
      <top style="thin">
        <color theme="6" tint="0.39988402966399123"/>
      </top>
      <bottom style="dashed">
        <color theme="6" tint="0.39988402966399123"/>
      </bottom>
      <diagonal/>
    </border>
    <border>
      <left/>
      <right/>
      <top style="thin">
        <color theme="6" tint="0.39988402966399123"/>
      </top>
      <bottom style="dashed">
        <color theme="6" tint="0.39985351115451523"/>
      </bottom>
      <diagonal/>
    </border>
    <border>
      <left style="dashed">
        <color theme="6" tint="0.39985351115451523"/>
      </left>
      <right/>
      <top style="thin">
        <color theme="6" tint="0.39988402966399123"/>
      </top>
      <bottom style="dashed">
        <color theme="6" tint="0.39985351115451523"/>
      </bottom>
      <diagonal/>
    </border>
    <border>
      <left/>
      <right/>
      <top style="thin">
        <color theme="6" tint="0.39988402966399123"/>
      </top>
      <bottom/>
      <diagonal/>
    </border>
    <border>
      <left style="thin">
        <color theme="6" tint="0.39991454817346722"/>
      </left>
      <right/>
      <top style="thin">
        <color theme="6" tint="0.39988402966399123"/>
      </top>
      <bottom style="thin">
        <color theme="6" tint="0.39988402966399123"/>
      </bottom>
      <diagonal/>
    </border>
    <border>
      <left/>
      <right/>
      <top style="thin">
        <color theme="6" tint="0.39988402966399123"/>
      </top>
      <bottom style="thin">
        <color theme="6" tint="0.39988402966399123"/>
      </bottom>
      <diagonal/>
    </border>
    <border>
      <left/>
      <right/>
      <top style="dashed">
        <color theme="6" tint="0.39985351115451523"/>
      </top>
      <bottom style="thin">
        <color theme="6" tint="0.39988402966399123"/>
      </bottom>
      <diagonal/>
    </border>
    <border>
      <left/>
      <right/>
      <top style="thin">
        <color theme="6" tint="0.39985351115451523"/>
      </top>
      <bottom style="thin">
        <color theme="6" tint="0.39988402966399123"/>
      </bottom>
      <diagonal/>
    </border>
    <border>
      <left/>
      <right style="dashed">
        <color theme="6" tint="0.39985351115451523"/>
      </right>
      <top style="thin">
        <color theme="6" tint="0.39988402966399123"/>
      </top>
      <bottom style="thin">
        <color theme="6" tint="0.39988402966399123"/>
      </bottom>
      <diagonal/>
    </border>
    <border>
      <left style="thin">
        <color theme="6" tint="0.39988402966399123"/>
      </left>
      <right style="thin">
        <color theme="6" tint="0.39991454817346722"/>
      </right>
      <top style="thin">
        <color theme="6" tint="0.39994506668294322"/>
      </top>
      <bottom style="dashed">
        <color theme="6" tint="0.39991454817346722"/>
      </bottom>
      <diagonal/>
    </border>
    <border>
      <left/>
      <right style="thin">
        <color theme="6" tint="0.39988402966399123"/>
      </right>
      <top style="thin">
        <color theme="6" tint="0.39994506668294322"/>
      </top>
      <bottom style="dashed">
        <color theme="6" tint="0.39991454817346722"/>
      </bottom>
      <diagonal/>
    </border>
    <border>
      <left style="thin">
        <color theme="6" tint="0.39988402966399123"/>
      </left>
      <right style="thin">
        <color theme="6" tint="0.39991454817346722"/>
      </right>
      <top style="dashed">
        <color theme="6" tint="0.39991454817346722"/>
      </top>
      <bottom/>
      <diagonal/>
    </border>
    <border>
      <left/>
      <right style="thin">
        <color theme="6" tint="0.39988402966399123"/>
      </right>
      <top style="thin">
        <color theme="6" tint="0.39988402966399123"/>
      </top>
      <bottom style="dashed">
        <color theme="6" tint="0.39985351115451523"/>
      </bottom>
      <diagonal/>
    </border>
    <border>
      <left style="thin">
        <color theme="6" tint="0.39988402966399123"/>
      </left>
      <right style="thin">
        <color theme="6" tint="0.39991454817346722"/>
      </right>
      <top/>
      <bottom/>
      <diagonal/>
    </border>
    <border>
      <left style="thin">
        <color theme="6" tint="0.39988402966399123"/>
      </left>
      <right style="thin">
        <color theme="6" tint="0.39991454817346722"/>
      </right>
      <top/>
      <bottom style="thin">
        <color theme="6" tint="0.39988402966399123"/>
      </bottom>
      <diagonal/>
    </border>
    <border>
      <left/>
      <right style="thin">
        <color theme="6" tint="0.39988402966399123"/>
      </right>
      <top style="thin">
        <color theme="6" tint="0.39985351115451523"/>
      </top>
      <bottom style="thin">
        <color theme="6" tint="0.39988402966399123"/>
      </bottom>
      <diagonal/>
    </border>
    <border>
      <left style="thin">
        <color theme="6" tint="0.39991454817346722"/>
      </left>
      <right/>
      <top style="thin">
        <color theme="6" tint="0.39994506668294322"/>
      </top>
      <bottom style="dashed">
        <color theme="6" tint="0.39991454817346722"/>
      </bottom>
      <diagonal/>
    </border>
    <border>
      <left style="hair">
        <color theme="6" tint="0.39991454817346722"/>
      </left>
      <right/>
      <top style="thin">
        <color theme="6" tint="0.39994506668294322"/>
      </top>
      <bottom style="dashed">
        <color theme="6" tint="0.39991454817346722"/>
      </bottom>
      <diagonal/>
    </border>
    <border>
      <left/>
      <right style="hair">
        <color theme="6" tint="0.39991454817346722"/>
      </right>
      <top style="thin">
        <color theme="6" tint="0.39994506668294322"/>
      </top>
      <bottom style="dashed">
        <color theme="6" tint="0.39991454817346722"/>
      </bottom>
      <diagonal/>
    </border>
    <border>
      <left style="dashed">
        <color theme="6" tint="0.39988402966399123"/>
      </left>
      <right/>
      <top style="dashed">
        <color theme="6" tint="0.39991454817346722"/>
      </top>
      <bottom/>
      <diagonal/>
    </border>
    <border>
      <left/>
      <right/>
      <top style="dashed">
        <color theme="6" tint="0.39991454817346722"/>
      </top>
      <bottom/>
      <diagonal/>
    </border>
    <border>
      <left style="thin">
        <color theme="6" tint="0.39991454817346722"/>
      </left>
      <right/>
      <top style="dashed">
        <color theme="6" tint="0.39991454817346722"/>
      </top>
      <bottom/>
      <diagonal/>
    </border>
    <border>
      <left/>
      <right style="dashed">
        <color theme="6" tint="0.39988402966399123"/>
      </right>
      <top style="dashed">
        <color theme="6" tint="0.39991454817346722"/>
      </top>
      <bottom/>
      <diagonal/>
    </border>
    <border>
      <left/>
      <right style="thin">
        <color theme="6" tint="0.39988402966399123"/>
      </right>
      <top style="dashed">
        <color theme="6" tint="0.39991454817346722"/>
      </top>
      <bottom/>
      <diagonal/>
    </border>
    <border>
      <left style="thin">
        <color theme="6" tint="0.39991454817346722"/>
      </left>
      <right/>
      <top style="hair">
        <color theme="6" tint="0.39988402966399123"/>
      </top>
      <bottom style="hair">
        <color theme="6" tint="0.39988402966399123"/>
      </bottom>
      <diagonal/>
    </border>
    <border>
      <left/>
      <right/>
      <top style="hair">
        <color theme="6" tint="0.39988402966399123"/>
      </top>
      <bottom style="hair">
        <color theme="6" tint="0.39988402966399123"/>
      </bottom>
      <diagonal/>
    </border>
    <border>
      <left/>
      <right style="thin">
        <color theme="6" tint="0.39988402966399123"/>
      </right>
      <top style="hair">
        <color theme="6" tint="0.39988402966399123"/>
      </top>
      <bottom style="hair">
        <color theme="6" tint="0.39988402966399123"/>
      </bottom>
      <diagonal/>
    </border>
    <border>
      <left style="thin">
        <color theme="6" tint="0.39991454817346722"/>
      </left>
      <right style="dashed">
        <color theme="6" tint="0.39994506668294322"/>
      </right>
      <top style="thin">
        <color theme="6" tint="0.39988402966399123"/>
      </top>
      <bottom style="dashed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thin">
        <color theme="6" tint="0.39988402966399123"/>
      </top>
      <bottom style="dashed">
        <color theme="6" tint="0.39994506668294322"/>
      </bottom>
      <diagonal/>
    </border>
    <border>
      <left style="dashed">
        <color theme="6" tint="0.39994506668294322"/>
      </left>
      <right style="thin">
        <color theme="6" tint="0.39991454817346722"/>
      </right>
      <top style="thin">
        <color theme="6" tint="0.39988402966399123"/>
      </top>
      <bottom style="dashed">
        <color theme="6" tint="0.39994506668294322"/>
      </bottom>
      <diagonal/>
    </border>
    <border>
      <left style="thin">
        <color theme="6" tint="0.39991454817346722"/>
      </left>
      <right style="dashed">
        <color theme="6" tint="0.39994506668294322"/>
      </right>
      <top style="dashed">
        <color theme="6" tint="0.39994506668294322"/>
      </top>
      <bottom style="thin">
        <color theme="6" tint="0.39988402966399123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thin">
        <color theme="6" tint="0.39988402966399123"/>
      </bottom>
      <diagonal/>
    </border>
    <border>
      <left style="dashed">
        <color theme="6" tint="0.39994506668294322"/>
      </left>
      <right style="thin">
        <color theme="6" tint="0.39991454817346722"/>
      </right>
      <top style="dashed">
        <color theme="6" tint="0.39994506668294322"/>
      </top>
      <bottom style="thin">
        <color theme="6" tint="0.39988402966399123"/>
      </bottom>
      <diagonal/>
    </border>
    <border>
      <left style="thin">
        <color theme="6" tint="0.39988402966399123"/>
      </left>
      <right style="thin">
        <color theme="6" tint="0.39991454817346722"/>
      </right>
      <top style="hair">
        <color theme="6" tint="0.39985351115451523"/>
      </top>
      <bottom style="hair">
        <color theme="6" tint="0.39985351115451523"/>
      </bottom>
      <diagonal/>
    </border>
    <border>
      <left style="thin">
        <color theme="9" tint="0.39988402966399123"/>
      </left>
      <right style="hair">
        <color theme="9" tint="0.39988402966399123"/>
      </right>
      <top style="thin">
        <color theme="9" tint="0.39988402966399123"/>
      </top>
      <bottom style="hair">
        <color theme="9" tint="0.39988402966399123"/>
      </bottom>
      <diagonal/>
    </border>
    <border>
      <left style="hair">
        <color theme="9" tint="0.39988402966399123"/>
      </left>
      <right style="hair">
        <color theme="9" tint="0.39988402966399123"/>
      </right>
      <top style="thin">
        <color theme="9" tint="0.39988402966399123"/>
      </top>
      <bottom style="hair">
        <color theme="9" tint="0.39988402966399123"/>
      </bottom>
      <diagonal/>
    </border>
    <border>
      <left style="hair">
        <color theme="9" tint="0.39988402966399123"/>
      </left>
      <right style="thin">
        <color theme="9" tint="0.39991454817346722"/>
      </right>
      <top style="thin">
        <color theme="9" tint="0.39988402966399123"/>
      </top>
      <bottom style="hair">
        <color theme="9" tint="0.39988402966399123"/>
      </bottom>
      <diagonal/>
    </border>
    <border>
      <left style="thin">
        <color theme="9" tint="0.39988402966399123"/>
      </left>
      <right style="hair">
        <color theme="9" tint="0.39988402966399123"/>
      </right>
      <top style="hair">
        <color theme="9" tint="0.39988402966399123"/>
      </top>
      <bottom style="hair">
        <color theme="9" tint="0.39988402966399123"/>
      </bottom>
      <diagonal/>
    </border>
    <border>
      <left style="hair">
        <color theme="9" tint="0.39988402966399123"/>
      </left>
      <right style="hair">
        <color theme="9" tint="0.39988402966399123"/>
      </right>
      <top style="hair">
        <color theme="9" tint="0.39988402966399123"/>
      </top>
      <bottom style="hair">
        <color theme="9" tint="0.39988402966399123"/>
      </bottom>
      <diagonal/>
    </border>
    <border>
      <left style="hair">
        <color theme="9" tint="0.39988402966399123"/>
      </left>
      <right style="thin">
        <color theme="9" tint="0.39991454817346722"/>
      </right>
      <top style="hair">
        <color theme="9" tint="0.39988402966399123"/>
      </top>
      <bottom style="hair">
        <color theme="9" tint="0.39988402966399123"/>
      </bottom>
      <diagonal/>
    </border>
    <border>
      <left style="thin">
        <color theme="9" tint="0.39988402966399123"/>
      </left>
      <right style="hair">
        <color theme="9" tint="0.39988402966399123"/>
      </right>
      <top style="hair">
        <color theme="9" tint="0.39988402966399123"/>
      </top>
      <bottom style="thin">
        <color theme="9" tint="0.39988402966399123"/>
      </bottom>
      <diagonal/>
    </border>
    <border>
      <left style="hair">
        <color theme="9" tint="0.39988402966399123"/>
      </left>
      <right style="hair">
        <color theme="9" tint="0.39988402966399123"/>
      </right>
      <top style="hair">
        <color theme="9" tint="0.39988402966399123"/>
      </top>
      <bottom style="thin">
        <color theme="9" tint="0.39988402966399123"/>
      </bottom>
      <diagonal/>
    </border>
    <border>
      <left style="hair">
        <color theme="9" tint="0.39988402966399123"/>
      </left>
      <right style="thin">
        <color theme="9" tint="0.39991454817346722"/>
      </right>
      <top style="hair">
        <color theme="9" tint="0.39988402966399123"/>
      </top>
      <bottom style="thin">
        <color theme="9" tint="0.39988402966399123"/>
      </bottom>
      <diagonal/>
    </border>
    <border>
      <left style="dashed">
        <color theme="6" tint="0.39994506668294322"/>
      </left>
      <right/>
      <top style="thin">
        <color theme="6" tint="0.39994506668294322"/>
      </top>
      <bottom style="dashed">
        <color theme="6" tint="0.39994506668294322"/>
      </bottom>
      <diagonal/>
    </border>
    <border>
      <left/>
      <right/>
      <top style="thin">
        <color theme="6" tint="0.39994506668294322"/>
      </top>
      <bottom style="dashed">
        <color theme="6" tint="0.39994506668294322"/>
      </bottom>
      <diagonal/>
    </border>
    <border>
      <left/>
      <right style="dashed">
        <color theme="6" tint="0.39994506668294322"/>
      </right>
      <top style="thin">
        <color theme="6" tint="0.39994506668294322"/>
      </top>
      <bottom style="dashed">
        <color theme="6" tint="0.39994506668294322"/>
      </bottom>
      <diagonal/>
    </border>
    <border>
      <left/>
      <right style="dashed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 style="thin">
        <color theme="6" tint="0.39994506668294322"/>
      </left>
      <right style="dashed">
        <color theme="6" tint="0.39994506668294322"/>
      </right>
      <top style="dashed">
        <color theme="6" tint="0.39994506668294322"/>
      </top>
      <bottom/>
      <diagonal/>
    </border>
    <border>
      <left style="thin">
        <color theme="6" tint="0.39994506668294322"/>
      </left>
      <right style="dashed">
        <color theme="6" tint="0.39994506668294322"/>
      </right>
      <top/>
      <bottom style="dashed">
        <color theme="6" tint="0.39994506668294322"/>
      </bottom>
      <diagonal/>
    </border>
    <border>
      <left/>
      <right style="dashed">
        <color theme="6" tint="0.39994506668294322"/>
      </right>
      <top style="dashed">
        <color theme="6" tint="0.39994506668294322"/>
      </top>
      <bottom style="thin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4506668294322"/>
      </top>
      <bottom/>
      <diagonal/>
    </border>
    <border>
      <left style="thin">
        <color theme="6" tint="0.39994506668294322"/>
      </left>
      <right style="dashed">
        <color theme="6" tint="0.39994506668294322"/>
      </right>
      <top style="dashed">
        <color theme="6" tint="0.39991454817346722"/>
      </top>
      <bottom style="thin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1454817346722"/>
      </top>
      <bottom style="thin">
        <color theme="6" tint="0.39994506668294322"/>
      </bottom>
      <diagonal/>
    </border>
    <border>
      <left style="thin">
        <color theme="6" tint="0.39994506668294322"/>
      </left>
      <right style="dashed">
        <color theme="6" tint="0.39994506668294322"/>
      </right>
      <top style="hair">
        <color theme="6" tint="0.39991454817346722"/>
      </top>
      <bottom style="thin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hair">
        <color theme="6" tint="0.39991454817346722"/>
      </top>
      <bottom style="thin">
        <color theme="6" tint="0.39994506668294322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178" fontId="14" fillId="3" borderId="0" xfId="0" applyNumberFormat="1" applyFont="1" applyFill="1">
      <alignment vertical="center"/>
    </xf>
    <xf numFmtId="178" fontId="14" fillId="0" borderId="0" xfId="0" applyNumberFormat="1" applyFont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178" fontId="10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>
      <alignment vertical="center"/>
    </xf>
    <xf numFmtId="178" fontId="14" fillId="3" borderId="0" xfId="0" applyNumberFormat="1" applyFont="1" applyFill="1" applyAlignment="1">
      <alignment horizontal="center" vertical="center" wrapText="1"/>
    </xf>
    <xf numFmtId="0" fontId="9" fillId="2" borderId="7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" fillId="2" borderId="5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177" fontId="2" fillId="3" borderId="7" xfId="0" applyNumberFormat="1" applyFont="1" applyFill="1" applyBorder="1" applyAlignment="1">
      <alignment horizontal="center" vertical="center"/>
    </xf>
    <xf numFmtId="177" fontId="2" fillId="3" borderId="34" xfId="0" applyNumberFormat="1" applyFont="1" applyFill="1" applyBorder="1" applyAlignment="1">
      <alignment horizontal="center" vertical="center"/>
    </xf>
    <xf numFmtId="178" fontId="2" fillId="0" borderId="45" xfId="0" applyNumberFormat="1" applyFont="1" applyBorder="1" applyAlignment="1">
      <alignment horizontal="center" vertical="center"/>
    </xf>
    <xf numFmtId="178" fontId="2" fillId="0" borderId="44" xfId="0" applyNumberFormat="1" applyFont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177" fontId="2" fillId="3" borderId="44" xfId="0" applyNumberFormat="1" applyFont="1" applyFill="1" applyBorder="1" applyAlignment="1">
      <alignment horizontal="center" vertical="center"/>
    </xf>
    <xf numFmtId="177" fontId="2" fillId="3" borderId="46" xfId="0" applyNumberFormat="1" applyFont="1" applyFill="1" applyBorder="1" applyAlignment="1">
      <alignment horizontal="center" vertical="center"/>
    </xf>
    <xf numFmtId="178" fontId="2" fillId="0" borderId="43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2" fillId="0" borderId="47" xfId="0" applyNumberFormat="1" applyFont="1" applyBorder="1" applyAlignment="1">
      <alignment horizontal="center" vertical="center"/>
    </xf>
    <xf numFmtId="178" fontId="1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178" fontId="2" fillId="3" borderId="40" xfId="0" applyNumberFormat="1" applyFont="1" applyFill="1" applyBorder="1" applyAlignment="1">
      <alignment horizontal="center" vertical="center"/>
    </xf>
    <xf numFmtId="178" fontId="2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178" fontId="2" fillId="3" borderId="41" xfId="0" applyNumberFormat="1" applyFont="1" applyFill="1" applyBorder="1" applyAlignment="1">
      <alignment horizontal="center" vertical="center"/>
    </xf>
    <xf numFmtId="178" fontId="2" fillId="3" borderId="28" xfId="0" applyNumberFormat="1" applyFont="1" applyFill="1" applyBorder="1" applyAlignment="1">
      <alignment horizontal="center" vertical="center"/>
    </xf>
    <xf numFmtId="178" fontId="2" fillId="3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32" xfId="0" applyFont="1" applyFill="1" applyBorder="1" applyAlignment="1">
      <alignment horizontal="left" vertical="center"/>
    </xf>
    <xf numFmtId="178" fontId="2" fillId="3" borderId="30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left" vertical="center"/>
    </xf>
    <xf numFmtId="0" fontId="2" fillId="3" borderId="39" xfId="0" applyFont="1" applyFill="1" applyBorder="1" applyAlignment="1">
      <alignment horizontal="left" vertical="center"/>
    </xf>
    <xf numFmtId="0" fontId="14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178" fontId="2" fillId="3" borderId="24" xfId="0" applyNumberFormat="1" applyFont="1" applyFill="1" applyBorder="1" applyAlignment="1">
      <alignment horizontal="center" vertical="center"/>
    </xf>
    <xf numFmtId="178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178" fontId="2" fillId="3" borderId="10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77" fontId="5" fillId="3" borderId="8" xfId="0" applyNumberFormat="1" applyFont="1" applyFill="1" applyBorder="1" applyAlignment="1">
      <alignment horizontal="center" vertical="center"/>
    </xf>
    <xf numFmtId="177" fontId="5" fillId="3" borderId="11" xfId="0" applyNumberFormat="1" applyFont="1" applyFill="1" applyBorder="1" applyAlignment="1">
      <alignment horizontal="center" vertical="center"/>
    </xf>
    <xf numFmtId="178" fontId="2" fillId="3" borderId="26" xfId="0" applyNumberFormat="1" applyFont="1" applyFill="1" applyBorder="1" applyAlignment="1">
      <alignment horizontal="center" vertical="center"/>
    </xf>
    <xf numFmtId="178" fontId="2" fillId="3" borderId="25" xfId="0" applyNumberFormat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36" xfId="0" applyFont="1" applyFill="1" applyBorder="1" applyAlignment="1">
      <alignment horizontal="left" vertical="center"/>
    </xf>
    <xf numFmtId="178" fontId="14" fillId="3" borderId="27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15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17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center" vertical="center" wrapText="1"/>
    </xf>
    <xf numFmtId="0" fontId="10" fillId="2" borderId="64" xfId="0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/>
    </xf>
    <xf numFmtId="178" fontId="2" fillId="0" borderId="59" xfId="0" applyNumberFormat="1" applyFont="1" applyBorder="1" applyAlignment="1">
      <alignment horizontal="center" vertical="center"/>
    </xf>
    <xf numFmtId="177" fontId="2" fillId="0" borderId="59" xfId="0" applyNumberFormat="1" applyFont="1" applyBorder="1" applyAlignment="1">
      <alignment horizontal="center" vertical="center"/>
    </xf>
    <xf numFmtId="177" fontId="2" fillId="0" borderId="60" xfId="0" applyNumberFormat="1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177" fontId="2" fillId="0" borderId="62" xfId="0" applyNumberFormat="1" applyFont="1" applyBorder="1" applyAlignment="1">
      <alignment horizontal="center" vertical="center"/>
    </xf>
    <xf numFmtId="177" fontId="2" fillId="0" borderId="63" xfId="0" applyNumberFormat="1" applyFont="1" applyBorder="1" applyAlignment="1">
      <alignment horizontal="center" vertical="center"/>
    </xf>
    <xf numFmtId="176" fontId="2" fillId="0" borderId="62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78" fontId="2" fillId="0" borderId="65" xfId="0" applyNumberFormat="1" applyFont="1" applyBorder="1" applyAlignment="1">
      <alignment horizontal="center" vertical="center"/>
    </xf>
    <xf numFmtId="176" fontId="2" fillId="0" borderId="65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3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77" fontId="11" fillId="5" borderId="2" xfId="0" applyNumberFormat="1" applyFont="1" applyFill="1" applyBorder="1" applyAlignment="1">
      <alignment horizontal="center" vertical="center"/>
    </xf>
    <xf numFmtId="177" fontId="11" fillId="5" borderId="15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77" fontId="13" fillId="3" borderId="3" xfId="0" applyNumberFormat="1" applyFont="1" applyFill="1" applyBorder="1" applyAlignment="1">
      <alignment horizontal="center" vertical="center"/>
    </xf>
    <xf numFmtId="177" fontId="13" fillId="3" borderId="21" xfId="0" applyNumberFormat="1" applyFont="1" applyFill="1" applyBorder="1" applyAlignment="1">
      <alignment horizontal="center" vertical="center"/>
    </xf>
    <xf numFmtId="177" fontId="13" fillId="3" borderId="22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 wrapText="1"/>
    </xf>
    <xf numFmtId="0" fontId="9" fillId="2" borderId="7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70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left" vertical="center"/>
    </xf>
    <xf numFmtId="0" fontId="7" fillId="3" borderId="67" xfId="0" applyFont="1" applyFill="1" applyBorder="1" applyAlignment="1">
      <alignment horizontal="left" vertical="center"/>
    </xf>
    <xf numFmtId="0" fontId="7" fillId="3" borderId="68" xfId="0" applyFont="1" applyFill="1" applyBorder="1" applyAlignment="1">
      <alignment horizontal="left" vertical="center"/>
    </xf>
    <xf numFmtId="0" fontId="7" fillId="3" borderId="69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7" fillId="3" borderId="73" xfId="0" applyFont="1" applyFill="1" applyBorder="1" applyAlignment="1">
      <alignment horizontal="left" vertical="center"/>
    </xf>
    <xf numFmtId="0" fontId="12" fillId="2" borderId="71" xfId="0" applyFont="1" applyFill="1" applyBorder="1" applyAlignment="1">
      <alignment horizontal="center" vertical="center"/>
    </xf>
    <xf numFmtId="0" fontId="12" fillId="2" borderId="74" xfId="0" applyFont="1" applyFill="1" applyBorder="1" applyAlignment="1">
      <alignment horizontal="center" vertical="center"/>
    </xf>
    <xf numFmtId="0" fontId="11" fillId="2" borderId="75" xfId="0" applyFont="1" applyFill="1" applyBorder="1" applyAlignment="1">
      <alignment horizontal="center" vertical="center"/>
    </xf>
    <xf numFmtId="0" fontId="11" fillId="2" borderId="76" xfId="0" applyFont="1" applyFill="1" applyBorder="1" applyAlignment="1">
      <alignment horizontal="center" vertical="center"/>
    </xf>
    <xf numFmtId="6" fontId="18" fillId="3" borderId="3" xfId="0" applyNumberFormat="1" applyFont="1" applyFill="1" applyBorder="1" applyAlignment="1">
      <alignment horizontal="center" vertical="center"/>
    </xf>
    <xf numFmtId="6" fontId="18" fillId="3" borderId="21" xfId="0" applyNumberFormat="1" applyFont="1" applyFill="1" applyBorder="1" applyAlignment="1">
      <alignment horizontal="center" vertical="center"/>
    </xf>
    <xf numFmtId="6" fontId="18" fillId="3" borderId="22" xfId="0" applyNumberFormat="1" applyFont="1" applyFill="1" applyBorder="1" applyAlignment="1">
      <alignment horizontal="center" vertical="center"/>
    </xf>
    <xf numFmtId="0" fontId="11" fillId="2" borderId="77" xfId="0" applyFont="1" applyFill="1" applyBorder="1" applyAlignment="1">
      <alignment horizontal="center" vertical="center"/>
    </xf>
    <xf numFmtId="0" fontId="11" fillId="2" borderId="78" xfId="0" applyFont="1" applyFill="1" applyBorder="1" applyAlignment="1">
      <alignment horizontal="center" vertical="center"/>
    </xf>
  </cellXfs>
  <cellStyles count="1">
    <cellStyle name="표준" xfId="0" builtinId="0"/>
  </cellStyles>
  <dxfs count="4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C80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B$8" lockText="1" noThreeD="1"/>
</file>

<file path=xl/ctrlProps/ctrlProp2.xml><?xml version="1.0" encoding="utf-8"?>
<formControlPr xmlns="http://schemas.microsoft.com/office/spreadsheetml/2009/9/main" objectType="CheckBox" checked="Checked" fmlaLink="$B$9" lockText="1" noThreeD="1"/>
</file>

<file path=xl/ctrlProps/ctrlProp3.xml><?xml version="1.0" encoding="utf-8"?>
<formControlPr xmlns="http://schemas.microsoft.com/office/spreadsheetml/2009/9/main" objectType="CheckBox" fmlaLink="$N$8" lockText="1" noThreeD="1"/>
</file>

<file path=xl/ctrlProps/ctrlProp4.xml><?xml version="1.0" encoding="utf-8"?>
<formControlPr xmlns="http://schemas.microsoft.com/office/spreadsheetml/2009/9/main" objectType="CheckBox" fmlaLink="$J$11" lockText="1" noThreeD="1"/>
</file>

<file path=xl/ctrlProps/ctrlProp5.xml><?xml version="1.0" encoding="utf-8"?>
<formControlPr xmlns="http://schemas.microsoft.com/office/spreadsheetml/2009/9/main" objectType="CheckBox" fmlaLink="$B$12" lockText="1" noThreeD="1"/>
</file>

<file path=xl/ctrlProps/ctrlProp6.xml><?xml version="1.0" encoding="utf-8"?>
<formControlPr xmlns="http://schemas.microsoft.com/office/spreadsheetml/2009/9/main" objectType="CheckBox" fmlaLink="$R$11" lockText="1" noThreeD="1"/>
</file>

<file path=xl/ctrlProps/ctrlProp7.xml><?xml version="1.0" encoding="utf-8"?>
<formControlPr xmlns="http://schemas.microsoft.com/office/spreadsheetml/2009/9/main" objectType="CheckBox" fmlaLink="$B$11" lockText="1" noThreeD="1"/>
</file>

<file path=xl/ctrlProps/ctrlProp8.xml><?xml version="1.0" encoding="utf-8"?>
<formControlPr xmlns="http://schemas.microsoft.com/office/spreadsheetml/2009/9/main" objectType="CheckBox" fmlaLink="$J$12" lockText="1" noThreeD="1"/>
</file>

<file path=xl/ctrlProps/ctrlProp9.xml><?xml version="1.0" encoding="utf-8"?>
<formControlPr xmlns="http://schemas.microsoft.com/office/spreadsheetml/2009/9/main" objectType="CheckBox" fmlaLink="$R$12" lockText="1" noThreeD="1"/>
</file>

<file path=xl/ctrlProps/ctrlProp10.xml><?xml version="1.0" encoding="utf-8"?>
<formControlPr xmlns="http://schemas.microsoft.com/office/spreadsheetml/2009/9/main" objectType="CheckBox" fmlaLink="$G$39" lockText="1" noThreeD="1"/>
</file>

<file path=xl/ctrlProps/ctrlProp11.xml><?xml version="1.0" encoding="utf-8"?>
<formControlPr xmlns="http://schemas.microsoft.com/office/spreadsheetml/2009/9/main" objectType="CheckBox" fmlaLink="$S$39" lockText="1" noThreeD="1"/>
</file>

<file path=xl/ctrlProps/ctrlProp12.xml><?xml version="1.0" encoding="utf-8"?>
<formControlPr xmlns="http://schemas.microsoft.com/office/spreadsheetml/2009/9/main" objectType="CheckBox" fmlaLink="$S$40" lockText="1" noThreeD="1"/>
</file>

<file path=xl/ctrlProps/ctrlProp13.xml><?xml version="1.0" encoding="utf-8"?>
<formControlPr xmlns="http://schemas.microsoft.com/office/spreadsheetml/2009/9/main" objectType="CheckBox" fmlaLink="$G$40" lockText="1" noThreeD="1"/>
</file>

<file path=xl/ctrlProps/ctrlProp14.xml><?xml version="1.0" encoding="utf-8"?>
<formControlPr xmlns="http://schemas.microsoft.com/office/spreadsheetml/2009/9/main" objectType="CheckBox" fmlaLink="$G$41" lockText="1" noThreeD="1"/>
</file>

<file path=xl/ctrlProps/ctrlProp15.xml><?xml version="1.0" encoding="utf-8"?>
<formControlPr xmlns="http://schemas.microsoft.com/office/spreadsheetml/2009/9/main" objectType="CheckBox" fmlaLink="$S$41" lockText="1" noThreeD="1"/>
</file>

<file path=xl/ctrlProps/ctrlProp16.xml><?xml version="1.0" encoding="utf-8"?>
<formControlPr xmlns="http://schemas.microsoft.com/office/spreadsheetml/2009/9/main" objectType="CheckBox" fmlaLink="$N$9" lockText="1" noThreeD="1"/>
</file>

<file path=xl/ctrlProps/ctrlProp17.xml><?xml version="1.0" encoding="utf-8"?>
<formControlPr xmlns="http://schemas.microsoft.com/office/spreadsheetml/2009/9/main" objectType="CheckBox" fmlaLink="$G$42" lockText="1" noThreeD="1"/>
</file>

<file path=xl/ctrlProps/ctrlProp18.xml><?xml version="1.0" encoding="utf-8"?>
<formControlPr xmlns="http://schemas.microsoft.com/office/spreadsheetml/2009/9/main" objectType="CheckBox" fmlaLink="$S$42" lockText="1" noThreeD="1"/>
</file>

<file path=xl/ctrlProps/ctrlProp19.xml><?xml version="1.0" encoding="utf-8"?>
<formControlPr xmlns="http://schemas.microsoft.com/office/spreadsheetml/2009/9/main" objectType="CheckBox" fmlaLink="$G$43" lockText="1" noThreeD="1"/>
</file>

<file path=xl/ctrlProps/ctrlProp20.xml><?xml version="1.0" encoding="utf-8"?>
<formControlPr xmlns="http://schemas.microsoft.com/office/spreadsheetml/2009/9/main" objectType="CheckBox" fmlaLink="$S$43" lockText="1" noThreeD="1"/>
</file>

<file path=xl/ctrlProps/ctrlProp21.xml><?xml version="1.0" encoding="utf-8"?>
<formControlPr xmlns="http://schemas.microsoft.com/office/spreadsheetml/2009/9/main" objectType="CheckBox" checked="Checked" fmlaLink="$B$8" lockText="1" noThreeD="1"/>
</file>

<file path=xl/ctrlProps/ctrlProp22.xml><?xml version="1.0" encoding="utf-8"?>
<formControlPr xmlns="http://schemas.microsoft.com/office/spreadsheetml/2009/9/main" objectType="CheckBox" checked="Checked" fmlaLink="$B$9" lockText="1" noThreeD="1"/>
</file>

<file path=xl/ctrlProps/ctrlProp23.xml><?xml version="1.0" encoding="utf-8"?>
<formControlPr xmlns="http://schemas.microsoft.com/office/spreadsheetml/2009/9/main" objectType="CheckBox" fmlaLink="$N$8" lockText="1" noThreeD="1"/>
</file>

<file path=xl/ctrlProps/ctrlProp24.xml><?xml version="1.0" encoding="utf-8"?>
<formControlPr xmlns="http://schemas.microsoft.com/office/spreadsheetml/2009/9/main" objectType="CheckBox" fmlaLink="$J$11" lockText="1" noThreeD="1"/>
</file>

<file path=xl/ctrlProps/ctrlProp25.xml><?xml version="1.0" encoding="utf-8"?>
<formControlPr xmlns="http://schemas.microsoft.com/office/spreadsheetml/2009/9/main" objectType="CheckBox" fmlaLink="$B$12" lockText="1" noThreeD="1"/>
</file>

<file path=xl/ctrlProps/ctrlProp26.xml><?xml version="1.0" encoding="utf-8"?>
<formControlPr xmlns="http://schemas.microsoft.com/office/spreadsheetml/2009/9/main" objectType="CheckBox" fmlaLink="$R$11" lockText="1" noThreeD="1"/>
</file>

<file path=xl/ctrlProps/ctrlProp27.xml><?xml version="1.0" encoding="utf-8"?>
<formControlPr xmlns="http://schemas.microsoft.com/office/spreadsheetml/2009/9/main" objectType="CheckBox" fmlaLink="$B$11" lockText="1" noThreeD="1"/>
</file>

<file path=xl/ctrlProps/ctrlProp28.xml><?xml version="1.0" encoding="utf-8"?>
<formControlPr xmlns="http://schemas.microsoft.com/office/spreadsheetml/2009/9/main" objectType="CheckBox" fmlaLink="$J$12" lockText="1" noThreeD="1"/>
</file>

<file path=xl/ctrlProps/ctrlProp29.xml><?xml version="1.0" encoding="utf-8"?>
<formControlPr xmlns="http://schemas.microsoft.com/office/spreadsheetml/2009/9/main" objectType="CheckBox" fmlaLink="$R$12" lockText="1" noThreeD="1"/>
</file>

<file path=xl/ctrlProps/ctrlProp30.xml><?xml version="1.0" encoding="utf-8"?>
<formControlPr xmlns="http://schemas.microsoft.com/office/spreadsheetml/2009/9/main" objectType="CheckBox" fmlaLink="$G$41" lockText="1" noThreeD="1"/>
</file>

<file path=xl/ctrlProps/ctrlProp31.xml><?xml version="1.0" encoding="utf-8"?>
<formControlPr xmlns="http://schemas.microsoft.com/office/spreadsheetml/2009/9/main" objectType="CheckBox" fmlaLink="$S$41" lockText="1" noThreeD="1"/>
</file>

<file path=xl/ctrlProps/ctrlProp32.xml><?xml version="1.0" encoding="utf-8"?>
<formControlPr xmlns="http://schemas.microsoft.com/office/spreadsheetml/2009/9/main" objectType="CheckBox" fmlaLink="$S$42" lockText="1" noThreeD="1"/>
</file>

<file path=xl/ctrlProps/ctrlProp33.xml><?xml version="1.0" encoding="utf-8"?>
<formControlPr xmlns="http://schemas.microsoft.com/office/spreadsheetml/2009/9/main" objectType="CheckBox" fmlaLink="$G$42" lockText="1" noThreeD="1"/>
</file>

<file path=xl/ctrlProps/ctrlProp34.xml><?xml version="1.0" encoding="utf-8"?>
<formControlPr xmlns="http://schemas.microsoft.com/office/spreadsheetml/2009/9/main" objectType="CheckBox" fmlaLink="$G$43" lockText="1" noThreeD="1"/>
</file>

<file path=xl/ctrlProps/ctrlProp35.xml><?xml version="1.0" encoding="utf-8"?>
<formControlPr xmlns="http://schemas.microsoft.com/office/spreadsheetml/2009/9/main" objectType="CheckBox" fmlaLink="$S$43" lockText="1" noThreeD="1"/>
</file>

<file path=xl/ctrlProps/ctrlProp36.xml><?xml version="1.0" encoding="utf-8"?>
<formControlPr xmlns="http://schemas.microsoft.com/office/spreadsheetml/2009/9/main" objectType="CheckBox" fmlaLink="$N$9" lockText="1" noThreeD="1"/>
</file>

<file path=xl/ctrlProps/ctrlProp37.xml><?xml version="1.0" encoding="utf-8"?>
<formControlPr xmlns="http://schemas.microsoft.com/office/spreadsheetml/2009/9/main" objectType="CheckBox" fmlaLink="$G$44" lockText="1" noThreeD="1"/>
</file>

<file path=xl/ctrlProps/ctrlProp38.xml><?xml version="1.0" encoding="utf-8"?>
<formControlPr xmlns="http://schemas.microsoft.com/office/spreadsheetml/2009/9/main" objectType="CheckBox" fmlaLink="$S$44" lockText="1" noThreeD="1"/>
</file>

<file path=xl/ctrlProps/ctrlProp39.xml><?xml version="1.0" encoding="utf-8"?>
<formControlPr xmlns="http://schemas.microsoft.com/office/spreadsheetml/2009/9/main" objectType="CheckBox" fmlaLink="$G$45" lockText="1" noThreeD="1"/>
</file>

<file path=xl/ctrlProps/ctrlProp40.xml><?xml version="1.0" encoding="utf-8"?>
<formControlPr xmlns="http://schemas.microsoft.com/office/spreadsheetml/2009/9/main" objectType="CheckBox" fmlaLink="$S$4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1</xdr:row>
      <xdr:rowOff>19050</xdr:rowOff>
    </xdr:from>
    <xdr:to>
      <xdr:col>24</xdr:col>
      <xdr:colOff>342900</xdr:colOff>
      <xdr:row>4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A3E388-4530-407D-9B7C-D0BD32437307}"/>
            </a:ext>
          </a:extLst>
        </xdr:cNvPr>
        <xdr:cNvSpPr txBox="1"/>
      </xdr:nvSpPr>
      <xdr:spPr>
        <a:xfrm>
          <a:off x="7429500" y="466725"/>
          <a:ext cx="1362075" cy="914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>
              <a:solidFill>
                <a:srgbClr val="FF0000"/>
              </a:solidFill>
              <a:latin typeface="Bodoni MT Black" panose="02070A03080606020203" pitchFamily="18" charset="0"/>
            </a:rPr>
            <a:t>LUNE9</a:t>
          </a:r>
          <a:endParaRPr lang="ko-KR" altLang="en-US" sz="2400">
            <a:solidFill>
              <a:srgbClr val="FF0000"/>
            </a:solidFill>
            <a:latin typeface="Bodoni MT Black" panose="02070A03080606020203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7</xdr:row>
          <xdr:rowOff>28575</xdr:rowOff>
        </xdr:from>
        <xdr:to>
          <xdr:col>5</xdr:col>
          <xdr:colOff>266700</xdr:colOff>
          <xdr:row>7</xdr:row>
          <xdr:rowOff>219075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0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8</xdr:row>
          <xdr:rowOff>28575</xdr:rowOff>
        </xdr:from>
        <xdr:to>
          <xdr:col>5</xdr:col>
          <xdr:colOff>266700</xdr:colOff>
          <xdr:row>8</xdr:row>
          <xdr:rowOff>219075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0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7</xdr:row>
          <xdr:rowOff>28575</xdr:rowOff>
        </xdr:from>
        <xdr:to>
          <xdr:col>17</xdr:col>
          <xdr:colOff>238125</xdr:colOff>
          <xdr:row>7</xdr:row>
          <xdr:rowOff>219075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0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10</xdr:row>
          <xdr:rowOff>28575</xdr:rowOff>
        </xdr:from>
        <xdr:to>
          <xdr:col>11</xdr:col>
          <xdr:colOff>133350</xdr:colOff>
          <xdr:row>10</xdr:row>
          <xdr:rowOff>219075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0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11</xdr:row>
          <xdr:rowOff>19050</xdr:rowOff>
        </xdr:from>
        <xdr:to>
          <xdr:col>3</xdr:col>
          <xdr:colOff>171450</xdr:colOff>
          <xdr:row>11</xdr:row>
          <xdr:rowOff>209550</xdr:rowOff>
        </xdr:to>
        <xdr:sp macro="" textlink="">
          <xdr:nvSpPr>
            <xdr:cNvPr id="18437" name="Check Box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0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10</xdr:row>
          <xdr:rowOff>28575</xdr:rowOff>
        </xdr:from>
        <xdr:to>
          <xdr:col>19</xdr:col>
          <xdr:colOff>266700</xdr:colOff>
          <xdr:row>10</xdr:row>
          <xdr:rowOff>219075</xdr:rowOff>
        </xdr:to>
        <xdr:sp macro="" textlink="">
          <xdr:nvSpPr>
            <xdr:cNvPr id="18438" name="Check Box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00000000-0008-0000-0000-00000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10</xdr:row>
          <xdr:rowOff>28575</xdr:rowOff>
        </xdr:from>
        <xdr:to>
          <xdr:col>3</xdr:col>
          <xdr:colOff>171450</xdr:colOff>
          <xdr:row>10</xdr:row>
          <xdr:rowOff>219075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00000000-0008-0000-0000-00000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11</xdr:row>
          <xdr:rowOff>28575</xdr:rowOff>
        </xdr:from>
        <xdr:to>
          <xdr:col>11</xdr:col>
          <xdr:colOff>133350</xdr:colOff>
          <xdr:row>11</xdr:row>
          <xdr:rowOff>219075</xdr:rowOff>
        </xdr:to>
        <xdr:sp macro="" textlink="">
          <xdr:nvSpPr>
            <xdr:cNvPr id="18440" name="Check Box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00000000-0008-0000-0000-00000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11</xdr:row>
          <xdr:rowOff>28575</xdr:rowOff>
        </xdr:from>
        <xdr:to>
          <xdr:col>19</xdr:col>
          <xdr:colOff>266700</xdr:colOff>
          <xdr:row>11</xdr:row>
          <xdr:rowOff>219075</xdr:rowOff>
        </xdr:to>
        <xdr:sp macro="" textlink="">
          <xdr:nvSpPr>
            <xdr:cNvPr id="18441" name="Check Box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00000000-0008-0000-0000-00000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38</xdr:row>
          <xdr:rowOff>28575</xdr:rowOff>
        </xdr:from>
        <xdr:to>
          <xdr:col>7</xdr:col>
          <xdr:colOff>28575</xdr:colOff>
          <xdr:row>38</xdr:row>
          <xdr:rowOff>200025</xdr:rowOff>
        </xdr:to>
        <xdr:sp macro="" textlink="">
          <xdr:nvSpPr>
            <xdr:cNvPr id="18442" name="Check Box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00000000-0008-0000-0000-00000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38</xdr:row>
          <xdr:rowOff>38100</xdr:rowOff>
        </xdr:from>
        <xdr:to>
          <xdr:col>19</xdr:col>
          <xdr:colOff>28575</xdr:colOff>
          <xdr:row>38</xdr:row>
          <xdr:rowOff>209550</xdr:rowOff>
        </xdr:to>
        <xdr:sp macro="" textlink="">
          <xdr:nvSpPr>
            <xdr:cNvPr id="18443" name="Check Box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00000000-0008-0000-0000-00000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39</xdr:row>
          <xdr:rowOff>38100</xdr:rowOff>
        </xdr:from>
        <xdr:to>
          <xdr:col>19</xdr:col>
          <xdr:colOff>47625</xdr:colOff>
          <xdr:row>39</xdr:row>
          <xdr:rowOff>200025</xdr:rowOff>
        </xdr:to>
        <xdr:sp macro="" textlink="">
          <xdr:nvSpPr>
            <xdr:cNvPr id="18444" name="Check Box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000000-0008-0000-0000-00000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39</xdr:row>
          <xdr:rowOff>38100</xdr:rowOff>
        </xdr:from>
        <xdr:to>
          <xdr:col>7</xdr:col>
          <xdr:colOff>47625</xdr:colOff>
          <xdr:row>39</xdr:row>
          <xdr:rowOff>200025</xdr:rowOff>
        </xdr:to>
        <xdr:sp macro="" textlink="">
          <xdr:nvSpPr>
            <xdr:cNvPr id="18445" name="Check Box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00000000-0008-0000-0000-00000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40</xdr:row>
          <xdr:rowOff>28575</xdr:rowOff>
        </xdr:from>
        <xdr:to>
          <xdr:col>7</xdr:col>
          <xdr:colOff>47625</xdr:colOff>
          <xdr:row>40</xdr:row>
          <xdr:rowOff>190500</xdr:rowOff>
        </xdr:to>
        <xdr:sp macro="" textlink="">
          <xdr:nvSpPr>
            <xdr:cNvPr id="18446" name="Check Box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00000000-0008-0000-0000-00000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40</xdr:row>
          <xdr:rowOff>38100</xdr:rowOff>
        </xdr:from>
        <xdr:to>
          <xdr:col>19</xdr:col>
          <xdr:colOff>47625</xdr:colOff>
          <xdr:row>40</xdr:row>
          <xdr:rowOff>200025</xdr:rowOff>
        </xdr:to>
        <xdr:sp macro="" textlink="">
          <xdr:nvSpPr>
            <xdr:cNvPr id="18447" name="Check Box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00000000-0008-0000-0000-00000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8</xdr:row>
          <xdr:rowOff>28575</xdr:rowOff>
        </xdr:from>
        <xdr:to>
          <xdr:col>17</xdr:col>
          <xdr:colOff>238125</xdr:colOff>
          <xdr:row>8</xdr:row>
          <xdr:rowOff>219075</xdr:rowOff>
        </xdr:to>
        <xdr:sp macro="" textlink="">
          <xdr:nvSpPr>
            <xdr:cNvPr id="18448" name="Check Box 16" hidden="1">
              <a:extLst>
                <a:ext uri="{63B3BB69-23CF-44E3-9099-C40C66FF867C}">
                  <a14:compatExt spid="_x0000_s18448"/>
                </a:ext>
                <a:ext uri="{FF2B5EF4-FFF2-40B4-BE49-F238E27FC236}">
                  <a16:creationId xmlns:a16="http://schemas.microsoft.com/office/drawing/2014/main" id="{00000000-0008-0000-0000-00001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41</xdr:row>
          <xdr:rowOff>19050</xdr:rowOff>
        </xdr:from>
        <xdr:to>
          <xdr:col>7</xdr:col>
          <xdr:colOff>95250</xdr:colOff>
          <xdr:row>41</xdr:row>
          <xdr:rowOff>200025</xdr:rowOff>
        </xdr:to>
        <xdr:sp macro="" textlink="">
          <xdr:nvSpPr>
            <xdr:cNvPr id="18449" name="Check Box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00000000-0008-0000-0000-00001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41</xdr:row>
          <xdr:rowOff>38100</xdr:rowOff>
        </xdr:from>
        <xdr:to>
          <xdr:col>19</xdr:col>
          <xdr:colOff>57150</xdr:colOff>
          <xdr:row>41</xdr:row>
          <xdr:rowOff>209550</xdr:rowOff>
        </xdr:to>
        <xdr:sp macro="" textlink="">
          <xdr:nvSpPr>
            <xdr:cNvPr id="18450" name="Check Box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00000000-0008-0000-0000-00001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42</xdr:row>
          <xdr:rowOff>28575</xdr:rowOff>
        </xdr:from>
        <xdr:to>
          <xdr:col>7</xdr:col>
          <xdr:colOff>95250</xdr:colOff>
          <xdr:row>42</xdr:row>
          <xdr:rowOff>209550</xdr:rowOff>
        </xdr:to>
        <xdr:sp macro="" textlink="">
          <xdr:nvSpPr>
            <xdr:cNvPr id="18451" name="Check Box 19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00000000-0008-0000-0000-00001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42</xdr:row>
          <xdr:rowOff>28575</xdr:rowOff>
        </xdr:from>
        <xdr:to>
          <xdr:col>19</xdr:col>
          <xdr:colOff>95250</xdr:colOff>
          <xdr:row>42</xdr:row>
          <xdr:rowOff>209550</xdr:rowOff>
        </xdr:to>
        <xdr:sp macro="" textlink="">
          <xdr:nvSpPr>
            <xdr:cNvPr id="18452" name="Check Box 20" hidden="1">
              <a:extLst>
                <a:ext uri="{63B3BB69-23CF-44E3-9099-C40C66FF867C}">
                  <a14:compatExt spid="_x0000_s18452"/>
                </a:ext>
                <a:ext uri="{FF2B5EF4-FFF2-40B4-BE49-F238E27FC236}">
                  <a16:creationId xmlns:a16="http://schemas.microsoft.com/office/drawing/2014/main" id="{00000000-0008-0000-0000-00001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17</xdr:col>
      <xdr:colOff>318713</xdr:colOff>
      <xdr:row>50</xdr:row>
      <xdr:rowOff>47625</xdr:rowOff>
    </xdr:from>
    <xdr:to>
      <xdr:col>24</xdr:col>
      <xdr:colOff>209308</xdr:colOff>
      <xdr:row>50</xdr:row>
      <xdr:rowOff>704850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A8522A-E65D-4B9E-B839-175627CC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6613" y="11677650"/>
          <a:ext cx="2281370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1</xdr:row>
      <xdr:rowOff>19050</xdr:rowOff>
    </xdr:from>
    <xdr:to>
      <xdr:col>24</xdr:col>
      <xdr:colOff>342900</xdr:colOff>
      <xdr:row>4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1C9B0F-F7FB-42BC-8E35-916C676B2489}"/>
            </a:ext>
          </a:extLst>
        </xdr:cNvPr>
        <xdr:cNvSpPr txBox="1"/>
      </xdr:nvSpPr>
      <xdr:spPr>
        <a:xfrm>
          <a:off x="7429500" y="466725"/>
          <a:ext cx="1362075" cy="914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>
              <a:solidFill>
                <a:srgbClr val="FF0000"/>
              </a:solidFill>
              <a:latin typeface="Bodoni MT Black" panose="02070A03080606020203" pitchFamily="18" charset="0"/>
            </a:rPr>
            <a:t>LUNE4</a:t>
          </a:r>
          <a:endParaRPr lang="ko-KR" altLang="en-US" sz="2400">
            <a:solidFill>
              <a:srgbClr val="FF0000"/>
            </a:solidFill>
            <a:latin typeface="Bodoni MT Black" panose="02070A03080606020203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7</xdr:row>
          <xdr:rowOff>28575</xdr:rowOff>
        </xdr:from>
        <xdr:to>
          <xdr:col>5</xdr:col>
          <xdr:colOff>266700</xdr:colOff>
          <xdr:row>7</xdr:row>
          <xdr:rowOff>219075</xdr:rowOff>
        </xdr:to>
        <xdr:sp macro="" textlink="">
          <xdr:nvSpPr>
            <xdr:cNvPr id="19457" name="Check Box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1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8</xdr:row>
          <xdr:rowOff>28575</xdr:rowOff>
        </xdr:from>
        <xdr:to>
          <xdr:col>5</xdr:col>
          <xdr:colOff>266700</xdr:colOff>
          <xdr:row>8</xdr:row>
          <xdr:rowOff>219075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1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7</xdr:row>
          <xdr:rowOff>28575</xdr:rowOff>
        </xdr:from>
        <xdr:to>
          <xdr:col>17</xdr:col>
          <xdr:colOff>238125</xdr:colOff>
          <xdr:row>7</xdr:row>
          <xdr:rowOff>219075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1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10</xdr:row>
          <xdr:rowOff>28575</xdr:rowOff>
        </xdr:from>
        <xdr:to>
          <xdr:col>11</xdr:col>
          <xdr:colOff>133350</xdr:colOff>
          <xdr:row>10</xdr:row>
          <xdr:rowOff>219075</xdr:rowOff>
        </xdr:to>
        <xdr:sp macro="" textlink="">
          <xdr:nvSpPr>
            <xdr:cNvPr id="19460" name="Check Box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1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11</xdr:row>
          <xdr:rowOff>19050</xdr:rowOff>
        </xdr:from>
        <xdr:to>
          <xdr:col>3</xdr:col>
          <xdr:colOff>171450</xdr:colOff>
          <xdr:row>11</xdr:row>
          <xdr:rowOff>209550</xdr:rowOff>
        </xdr:to>
        <xdr:sp macro="" textlink="">
          <xdr:nvSpPr>
            <xdr:cNvPr id="19461" name="Check Box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1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10</xdr:row>
          <xdr:rowOff>28575</xdr:rowOff>
        </xdr:from>
        <xdr:to>
          <xdr:col>19</xdr:col>
          <xdr:colOff>266700</xdr:colOff>
          <xdr:row>10</xdr:row>
          <xdr:rowOff>219075</xdr:rowOff>
        </xdr:to>
        <xdr:sp macro="" textlink="">
          <xdr:nvSpPr>
            <xdr:cNvPr id="19462" name="Check Box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1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10</xdr:row>
          <xdr:rowOff>28575</xdr:rowOff>
        </xdr:from>
        <xdr:to>
          <xdr:col>3</xdr:col>
          <xdr:colOff>171450</xdr:colOff>
          <xdr:row>10</xdr:row>
          <xdr:rowOff>219075</xdr:rowOff>
        </xdr:to>
        <xdr:sp macro="" textlink="">
          <xdr:nvSpPr>
            <xdr:cNvPr id="19463" name="Check Box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01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11</xdr:row>
          <xdr:rowOff>28575</xdr:rowOff>
        </xdr:from>
        <xdr:to>
          <xdr:col>11</xdr:col>
          <xdr:colOff>133350</xdr:colOff>
          <xdr:row>11</xdr:row>
          <xdr:rowOff>219075</xdr:rowOff>
        </xdr:to>
        <xdr:sp macro="" textlink="">
          <xdr:nvSpPr>
            <xdr:cNvPr id="19464" name="Check Box 8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0000000-0008-0000-01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11</xdr:row>
          <xdr:rowOff>28575</xdr:rowOff>
        </xdr:from>
        <xdr:to>
          <xdr:col>19</xdr:col>
          <xdr:colOff>266700</xdr:colOff>
          <xdr:row>11</xdr:row>
          <xdr:rowOff>219075</xdr:rowOff>
        </xdr:to>
        <xdr:sp macro="" textlink="">
          <xdr:nvSpPr>
            <xdr:cNvPr id="19465" name="Check Box 9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1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40</xdr:row>
          <xdr:rowOff>28575</xdr:rowOff>
        </xdr:from>
        <xdr:to>
          <xdr:col>7</xdr:col>
          <xdr:colOff>28575</xdr:colOff>
          <xdr:row>40</xdr:row>
          <xdr:rowOff>200025</xdr:rowOff>
        </xdr:to>
        <xdr:sp macro="" textlink="">
          <xdr:nvSpPr>
            <xdr:cNvPr id="19466" name="Check Box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1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40</xdr:row>
          <xdr:rowOff>38100</xdr:rowOff>
        </xdr:from>
        <xdr:to>
          <xdr:col>19</xdr:col>
          <xdr:colOff>28575</xdr:colOff>
          <xdr:row>40</xdr:row>
          <xdr:rowOff>209550</xdr:rowOff>
        </xdr:to>
        <xdr:sp macro="" textlink="">
          <xdr:nvSpPr>
            <xdr:cNvPr id="19467" name="Check Box 11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00000000-0008-0000-01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41</xdr:row>
          <xdr:rowOff>38100</xdr:rowOff>
        </xdr:from>
        <xdr:to>
          <xdr:col>19</xdr:col>
          <xdr:colOff>47625</xdr:colOff>
          <xdr:row>41</xdr:row>
          <xdr:rowOff>200025</xdr:rowOff>
        </xdr:to>
        <xdr:sp macro="" textlink="">
          <xdr:nvSpPr>
            <xdr:cNvPr id="19468" name="Check Box 12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1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41</xdr:row>
          <xdr:rowOff>38100</xdr:rowOff>
        </xdr:from>
        <xdr:to>
          <xdr:col>7</xdr:col>
          <xdr:colOff>47625</xdr:colOff>
          <xdr:row>41</xdr:row>
          <xdr:rowOff>200025</xdr:rowOff>
        </xdr:to>
        <xdr:sp macro="" textlink="">
          <xdr:nvSpPr>
            <xdr:cNvPr id="19469" name="Check Box 13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01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42</xdr:row>
          <xdr:rowOff>28575</xdr:rowOff>
        </xdr:from>
        <xdr:to>
          <xdr:col>7</xdr:col>
          <xdr:colOff>47625</xdr:colOff>
          <xdr:row>42</xdr:row>
          <xdr:rowOff>190500</xdr:rowOff>
        </xdr:to>
        <xdr:sp macro="" textlink="">
          <xdr:nvSpPr>
            <xdr:cNvPr id="19470" name="Check Box 14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id="{00000000-0008-0000-01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42</xdr:row>
          <xdr:rowOff>38100</xdr:rowOff>
        </xdr:from>
        <xdr:to>
          <xdr:col>19</xdr:col>
          <xdr:colOff>47625</xdr:colOff>
          <xdr:row>42</xdr:row>
          <xdr:rowOff>200025</xdr:rowOff>
        </xdr:to>
        <xdr:sp macro="" textlink="">
          <xdr:nvSpPr>
            <xdr:cNvPr id="19471" name="Check Box 15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id="{00000000-0008-0000-01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8</xdr:row>
          <xdr:rowOff>28575</xdr:rowOff>
        </xdr:from>
        <xdr:to>
          <xdr:col>17</xdr:col>
          <xdr:colOff>238125</xdr:colOff>
          <xdr:row>8</xdr:row>
          <xdr:rowOff>219075</xdr:rowOff>
        </xdr:to>
        <xdr:sp macro="" textlink="">
          <xdr:nvSpPr>
            <xdr:cNvPr id="19472" name="Check Box 16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01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43</xdr:row>
          <xdr:rowOff>19050</xdr:rowOff>
        </xdr:from>
        <xdr:to>
          <xdr:col>7</xdr:col>
          <xdr:colOff>95250</xdr:colOff>
          <xdr:row>43</xdr:row>
          <xdr:rowOff>200025</xdr:rowOff>
        </xdr:to>
        <xdr:sp macro="" textlink="">
          <xdr:nvSpPr>
            <xdr:cNvPr id="19473" name="Check Box 17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id="{00000000-0008-0000-01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43</xdr:row>
          <xdr:rowOff>38100</xdr:rowOff>
        </xdr:from>
        <xdr:to>
          <xdr:col>19</xdr:col>
          <xdr:colOff>57150</xdr:colOff>
          <xdr:row>43</xdr:row>
          <xdr:rowOff>209550</xdr:rowOff>
        </xdr:to>
        <xdr:sp macro="" textlink="">
          <xdr:nvSpPr>
            <xdr:cNvPr id="19474" name="Check Box 18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id="{00000000-0008-0000-01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44</xdr:row>
          <xdr:rowOff>28575</xdr:rowOff>
        </xdr:from>
        <xdr:to>
          <xdr:col>7</xdr:col>
          <xdr:colOff>95250</xdr:colOff>
          <xdr:row>44</xdr:row>
          <xdr:rowOff>209550</xdr:rowOff>
        </xdr:to>
        <xdr:sp macro="" textlink="">
          <xdr:nvSpPr>
            <xdr:cNvPr id="19475" name="Check Box 19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id="{00000000-0008-0000-01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44</xdr:row>
          <xdr:rowOff>28575</xdr:rowOff>
        </xdr:from>
        <xdr:to>
          <xdr:col>19</xdr:col>
          <xdr:colOff>95250</xdr:colOff>
          <xdr:row>44</xdr:row>
          <xdr:rowOff>209550</xdr:rowOff>
        </xdr:to>
        <xdr:sp macro="" textlink="">
          <xdr:nvSpPr>
            <xdr:cNvPr id="19476" name="Check Box 20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id="{00000000-0008-0000-01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17</xdr:col>
      <xdr:colOff>318713</xdr:colOff>
      <xdr:row>52</xdr:row>
      <xdr:rowOff>47625</xdr:rowOff>
    </xdr:from>
    <xdr:to>
      <xdr:col>24</xdr:col>
      <xdr:colOff>209308</xdr:colOff>
      <xdr:row>52</xdr:row>
      <xdr:rowOff>704850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C9293F6-AEF8-4DBB-BE28-63A1CEA0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6613" y="11677650"/>
          <a:ext cx="228137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13" Type="http://schemas.openxmlformats.org/officeDocument/2006/relationships/ctrlProp" Target="../ctrlProps/ctrlProp30.xml"/><Relationship Id="rId18" Type="http://schemas.openxmlformats.org/officeDocument/2006/relationships/ctrlProp" Target="../ctrlProps/ctrlProp35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8.xml"/><Relationship Id="rId7" Type="http://schemas.openxmlformats.org/officeDocument/2006/relationships/ctrlProp" Target="../ctrlProps/ctrlProp24.xml"/><Relationship Id="rId12" Type="http://schemas.openxmlformats.org/officeDocument/2006/relationships/ctrlProp" Target="../ctrlProps/ctrlProp29.xml"/><Relationship Id="rId17" Type="http://schemas.openxmlformats.org/officeDocument/2006/relationships/ctrlProp" Target="../ctrlProps/ctrlProp3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3.xml"/><Relationship Id="rId20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5" Type="http://schemas.openxmlformats.org/officeDocument/2006/relationships/ctrlProp" Target="../ctrlProps/ctrlProp22.xml"/><Relationship Id="rId15" Type="http://schemas.openxmlformats.org/officeDocument/2006/relationships/ctrlProp" Target="../ctrlProps/ctrlProp32.xml"/><Relationship Id="rId23" Type="http://schemas.openxmlformats.org/officeDocument/2006/relationships/ctrlProp" Target="../ctrlProps/ctrlProp40.xml"/><Relationship Id="rId10" Type="http://schemas.openxmlformats.org/officeDocument/2006/relationships/ctrlProp" Target="../ctrlProps/ctrlProp27.xml"/><Relationship Id="rId19" Type="http://schemas.openxmlformats.org/officeDocument/2006/relationships/ctrlProp" Target="../ctrlProps/ctrlProp36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Relationship Id="rId14" Type="http://schemas.openxmlformats.org/officeDocument/2006/relationships/ctrlProp" Target="../ctrlProps/ctrlProp31.xml"/><Relationship Id="rId22" Type="http://schemas.openxmlformats.org/officeDocument/2006/relationships/ctrlProp" Target="../ctrlProps/ctrlProp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6F8D-6C40-4324-8A10-66008FB3A74C}">
  <sheetPr>
    <pageSetUpPr fitToPage="1"/>
  </sheetPr>
  <dimension ref="A1:AC51"/>
  <sheetViews>
    <sheetView view="pageBreakPreview" topLeftCell="A29" zoomScaleNormal="100" zoomScaleSheetLayoutView="100" workbookViewId="0">
      <selection activeCell="AB48" sqref="AB48"/>
    </sheetView>
  </sheetViews>
  <sheetFormatPr defaultColWidth="3.625" defaultRowHeight="15" customHeight="1" x14ac:dyDescent="0.3"/>
  <cols>
    <col min="1" max="1" width="8.5" style="1" customWidth="1"/>
    <col min="2" max="2" width="3.625" style="1" customWidth="1"/>
    <col min="3" max="7" width="4.625" style="1" customWidth="1"/>
    <col min="8" max="8" width="3.625" style="1" customWidth="1"/>
    <col min="9" max="13" width="4.625" style="1" customWidth="1"/>
    <col min="14" max="14" width="3.625" style="1" customWidth="1"/>
    <col min="15" max="19" width="4.625" style="1" customWidth="1"/>
    <col min="20" max="20" width="3.625" style="1" customWidth="1"/>
    <col min="21" max="25" width="4.625" style="1" customWidth="1"/>
    <col min="26" max="26" width="10.5" style="15" bestFit="1" customWidth="1"/>
    <col min="27" max="16384" width="3.625" style="1"/>
  </cols>
  <sheetData>
    <row r="1" spans="1:29" ht="35.25" customHeight="1" x14ac:dyDescent="0.3">
      <c r="A1" s="25" t="s">
        <v>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9" ht="20.100000000000001" customHeight="1" x14ac:dyDescent="0.3">
      <c r="A2" s="26" t="s">
        <v>0</v>
      </c>
      <c r="B2" s="29" t="s">
        <v>1</v>
      </c>
      <c r="C2" s="29"/>
      <c r="D2" s="29"/>
      <c r="E2" s="29"/>
      <c r="F2" s="29"/>
      <c r="G2" s="29"/>
      <c r="H2" s="29"/>
      <c r="I2" s="29"/>
      <c r="J2" s="29"/>
      <c r="K2" s="29" t="s">
        <v>4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30"/>
    </row>
    <row r="3" spans="1:29" ht="20.100000000000001" customHeight="1" x14ac:dyDescent="0.3">
      <c r="A3" s="27"/>
      <c r="B3" s="23" t="s">
        <v>2</v>
      </c>
      <c r="C3" s="23"/>
      <c r="D3" s="23"/>
      <c r="E3" s="23"/>
      <c r="F3" s="23"/>
      <c r="G3" s="23"/>
      <c r="H3" s="23"/>
      <c r="I3" s="23"/>
      <c r="J3" s="23"/>
      <c r="K3" s="23" t="s">
        <v>5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31"/>
    </row>
    <row r="4" spans="1:29" ht="20.100000000000001" customHeight="1" x14ac:dyDescent="0.3">
      <c r="A4" s="27"/>
      <c r="B4" s="23" t="s">
        <v>8</v>
      </c>
      <c r="C4" s="23"/>
      <c r="D4" s="23"/>
      <c r="E4" s="23"/>
      <c r="F4" s="23"/>
      <c r="G4" s="23"/>
      <c r="H4" s="23"/>
      <c r="I4" s="23"/>
      <c r="J4" s="23"/>
      <c r="K4" s="23" t="s">
        <v>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31"/>
    </row>
    <row r="5" spans="1:29" ht="20.100000000000001" customHeight="1" x14ac:dyDescent="0.3">
      <c r="A5" s="28"/>
      <c r="B5" s="24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32"/>
    </row>
    <row r="6" spans="1:29" s="15" customFormat="1" ht="5.0999999999999996" customHeight="1" x14ac:dyDescent="0.3">
      <c r="A6" s="14"/>
      <c r="B6" s="43"/>
      <c r="C6" s="43"/>
      <c r="D6" s="43"/>
      <c r="E6" s="43"/>
      <c r="F6" s="43"/>
      <c r="G6" s="43"/>
      <c r="H6" s="43"/>
      <c r="I6" s="43"/>
      <c r="J6" s="43">
        <f>SUMIF(J8,TRUE,O8)</f>
        <v>0</v>
      </c>
      <c r="K6" s="43"/>
      <c r="L6" s="43"/>
      <c r="M6" s="43"/>
      <c r="N6" s="43"/>
      <c r="O6" s="43"/>
      <c r="P6" s="43"/>
      <c r="Q6" s="43"/>
      <c r="R6" s="43">
        <f>SUMIF(N8,TRUE,W8)</f>
        <v>0</v>
      </c>
      <c r="S6" s="43"/>
      <c r="T6" s="43"/>
      <c r="U6" s="43"/>
      <c r="V6" s="43"/>
      <c r="W6" s="43"/>
      <c r="X6" s="43"/>
      <c r="Y6" s="43"/>
    </row>
    <row r="7" spans="1:29" ht="20.100000000000001" customHeight="1" x14ac:dyDescent="0.3">
      <c r="A7" s="44" t="s">
        <v>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</row>
    <row r="8" spans="1:29" ht="20.100000000000001" customHeight="1" x14ac:dyDescent="0.3">
      <c r="A8" s="12" t="s">
        <v>7</v>
      </c>
      <c r="B8" s="46" t="b">
        <v>1</v>
      </c>
      <c r="C8" s="47"/>
      <c r="D8" s="47"/>
      <c r="E8" s="47"/>
      <c r="F8" s="47"/>
      <c r="G8" s="48" t="s">
        <v>12</v>
      </c>
      <c r="H8" s="48"/>
      <c r="I8" s="48"/>
      <c r="J8" s="48"/>
      <c r="K8" s="48"/>
      <c r="L8" s="48"/>
      <c r="M8" s="49"/>
      <c r="N8" s="50" t="b">
        <v>0</v>
      </c>
      <c r="O8" s="47"/>
      <c r="P8" s="47"/>
      <c r="Q8" s="47"/>
      <c r="R8" s="47"/>
      <c r="S8" s="48" t="s">
        <v>13</v>
      </c>
      <c r="T8" s="48"/>
      <c r="U8" s="48"/>
      <c r="V8" s="33">
        <v>4550000</v>
      </c>
      <c r="W8" s="33"/>
      <c r="X8" s="33"/>
      <c r="Y8" s="34"/>
      <c r="Z8" s="15">
        <f>SUMIF(N8,TRUE,V8)</f>
        <v>0</v>
      </c>
    </row>
    <row r="9" spans="1:29" ht="20.100000000000001" customHeight="1" x14ac:dyDescent="0.3">
      <c r="A9" s="17" t="s">
        <v>10</v>
      </c>
      <c r="B9" s="35" t="b">
        <v>1</v>
      </c>
      <c r="C9" s="36"/>
      <c r="D9" s="36"/>
      <c r="E9" s="36"/>
      <c r="F9" s="36"/>
      <c r="G9" s="37" t="s">
        <v>11</v>
      </c>
      <c r="H9" s="37"/>
      <c r="I9" s="38">
        <v>51160000</v>
      </c>
      <c r="J9" s="38"/>
      <c r="K9" s="38"/>
      <c r="L9" s="38"/>
      <c r="M9" s="39"/>
      <c r="N9" s="40" t="b">
        <v>0</v>
      </c>
      <c r="O9" s="36"/>
      <c r="P9" s="36"/>
      <c r="Q9" s="36"/>
      <c r="R9" s="36"/>
      <c r="S9" s="37" t="s">
        <v>75</v>
      </c>
      <c r="T9" s="37"/>
      <c r="U9" s="37"/>
      <c r="V9" s="41">
        <v>51220000</v>
      </c>
      <c r="W9" s="41"/>
      <c r="X9" s="41"/>
      <c r="Y9" s="42"/>
      <c r="AC9" s="1" t="s">
        <v>70</v>
      </c>
    </row>
    <row r="10" spans="1:29" ht="20.100000000000001" customHeight="1" x14ac:dyDescent="0.3">
      <c r="A10" s="16" t="s">
        <v>76</v>
      </c>
      <c r="B10" s="58" t="s">
        <v>77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60"/>
    </row>
    <row r="11" spans="1:29" ht="20.100000000000001" customHeight="1" x14ac:dyDescent="0.3">
      <c r="A11" s="18" t="s">
        <v>14</v>
      </c>
      <c r="B11" s="61" t="b">
        <v>0</v>
      </c>
      <c r="C11" s="62"/>
      <c r="D11" s="62"/>
      <c r="E11" s="63" t="s">
        <v>16</v>
      </c>
      <c r="F11" s="63"/>
      <c r="G11" s="63"/>
      <c r="H11" s="63"/>
      <c r="I11" s="64"/>
      <c r="J11" s="65" t="b">
        <v>0</v>
      </c>
      <c r="K11" s="62"/>
      <c r="L11" s="66" t="s">
        <v>17</v>
      </c>
      <c r="M11" s="66"/>
      <c r="N11" s="66"/>
      <c r="O11" s="66"/>
      <c r="P11" s="67"/>
      <c r="Q11" s="68"/>
      <c r="R11" s="69" t="b">
        <v>0</v>
      </c>
      <c r="S11" s="70"/>
      <c r="T11" s="70"/>
      <c r="U11" s="71" t="s">
        <v>78</v>
      </c>
      <c r="V11" s="71"/>
      <c r="W11" s="71"/>
      <c r="X11" s="71"/>
      <c r="Y11" s="72"/>
    </row>
    <row r="12" spans="1:29" ht="20.100000000000001" customHeight="1" x14ac:dyDescent="0.3">
      <c r="A12" s="13" t="s">
        <v>15</v>
      </c>
      <c r="B12" s="51" t="b">
        <v>0</v>
      </c>
      <c r="C12" s="52"/>
      <c r="D12" s="52"/>
      <c r="E12" s="53" t="s">
        <v>18</v>
      </c>
      <c r="F12" s="53"/>
      <c r="G12" s="53"/>
      <c r="H12" s="53"/>
      <c r="I12" s="54"/>
      <c r="J12" s="52" t="b">
        <v>0</v>
      </c>
      <c r="K12" s="52"/>
      <c r="L12" s="52"/>
      <c r="M12" s="53" t="s">
        <v>19</v>
      </c>
      <c r="N12" s="53"/>
      <c r="O12" s="53"/>
      <c r="P12" s="53"/>
      <c r="Q12" s="54"/>
      <c r="R12" s="55" t="b">
        <v>0</v>
      </c>
      <c r="S12" s="55"/>
      <c r="T12" s="55"/>
      <c r="U12" s="56" t="s">
        <v>71</v>
      </c>
      <c r="V12" s="56"/>
      <c r="W12" s="56"/>
      <c r="X12" s="56"/>
      <c r="Y12" s="57"/>
    </row>
    <row r="13" spans="1:29" s="15" customFormat="1" ht="5.0999999999999996" customHeight="1" x14ac:dyDescent="0.3">
      <c r="A13" s="21"/>
      <c r="B13" s="73">
        <f>SUMIF(B9,TRUE,I9)</f>
        <v>51160000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>
        <f>SUMIF(N9,TRUE,V9)</f>
        <v>0</v>
      </c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15">
        <f>SUM(B13,N13)</f>
        <v>51160000</v>
      </c>
    </row>
    <row r="14" spans="1:29" ht="20.100000000000001" customHeight="1" x14ac:dyDescent="0.3">
      <c r="A14" s="44" t="s">
        <v>20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spans="1:29" ht="20.100000000000001" customHeight="1" x14ac:dyDescent="0.3">
      <c r="A15" s="2" t="s">
        <v>21</v>
      </c>
      <c r="B15" s="75" t="s">
        <v>59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6">
        <v>32840000</v>
      </c>
      <c r="V15" s="76"/>
      <c r="W15" s="76"/>
      <c r="X15" s="76"/>
      <c r="Y15" s="77"/>
    </row>
    <row r="16" spans="1:29" ht="20.100000000000001" customHeight="1" x14ac:dyDescent="0.3">
      <c r="A16" s="3" t="s">
        <v>22</v>
      </c>
      <c r="B16" s="82" t="s">
        <v>60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78"/>
      <c r="V16" s="78"/>
      <c r="W16" s="78"/>
      <c r="X16" s="78"/>
      <c r="Y16" s="79"/>
    </row>
    <row r="17" spans="1:26" ht="20.100000000000001" customHeight="1" x14ac:dyDescent="0.3">
      <c r="A17" s="3" t="s">
        <v>23</v>
      </c>
      <c r="B17" s="82" t="s">
        <v>79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78"/>
      <c r="V17" s="78"/>
      <c r="W17" s="78"/>
      <c r="X17" s="78"/>
      <c r="Y17" s="79"/>
    </row>
    <row r="18" spans="1:26" ht="20.100000000000001" customHeight="1" x14ac:dyDescent="0.3">
      <c r="A18" s="3" t="s">
        <v>35</v>
      </c>
      <c r="B18" s="82" t="s">
        <v>80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78"/>
      <c r="V18" s="78"/>
      <c r="W18" s="78"/>
      <c r="X18" s="78"/>
      <c r="Y18" s="79"/>
    </row>
    <row r="19" spans="1:26" ht="20.100000000000001" customHeight="1" x14ac:dyDescent="0.3">
      <c r="A19" s="3" t="s">
        <v>65</v>
      </c>
      <c r="B19" s="82" t="s">
        <v>81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78"/>
      <c r="V19" s="78"/>
      <c r="W19" s="78"/>
      <c r="X19" s="78"/>
      <c r="Y19" s="79"/>
    </row>
    <row r="20" spans="1:26" ht="20.100000000000001" customHeight="1" x14ac:dyDescent="0.3">
      <c r="A20" s="3" t="s">
        <v>36</v>
      </c>
      <c r="B20" s="82" t="s">
        <v>61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78"/>
      <c r="V20" s="78"/>
      <c r="W20" s="78"/>
      <c r="X20" s="78"/>
      <c r="Y20" s="79"/>
    </row>
    <row r="21" spans="1:26" ht="20.100000000000001" customHeight="1" x14ac:dyDescent="0.3">
      <c r="A21" s="3" t="s">
        <v>24</v>
      </c>
      <c r="B21" s="82" t="s">
        <v>62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78"/>
      <c r="V21" s="78"/>
      <c r="W21" s="78"/>
      <c r="X21" s="78"/>
      <c r="Y21" s="79"/>
    </row>
    <row r="22" spans="1:26" ht="20.100000000000001" customHeight="1" x14ac:dyDescent="0.3">
      <c r="A22" s="3" t="s">
        <v>25</v>
      </c>
      <c r="B22" s="82" t="s">
        <v>63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78"/>
      <c r="V22" s="78"/>
      <c r="W22" s="78"/>
      <c r="X22" s="78"/>
      <c r="Y22" s="79"/>
    </row>
    <row r="23" spans="1:26" ht="20.100000000000001" customHeight="1" x14ac:dyDescent="0.3">
      <c r="A23" s="3" t="s">
        <v>26</v>
      </c>
      <c r="B23" s="82" t="s">
        <v>64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78"/>
      <c r="V23" s="78"/>
      <c r="W23" s="78"/>
      <c r="X23" s="78"/>
      <c r="Y23" s="79"/>
    </row>
    <row r="24" spans="1:26" ht="20.100000000000001" customHeight="1" x14ac:dyDescent="0.3">
      <c r="A24" s="3" t="s">
        <v>37</v>
      </c>
      <c r="B24" s="82" t="s">
        <v>38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78"/>
      <c r="V24" s="78"/>
      <c r="W24" s="78"/>
      <c r="X24" s="78"/>
      <c r="Y24" s="79"/>
    </row>
    <row r="25" spans="1:26" ht="20.100000000000001" customHeight="1" x14ac:dyDescent="0.3">
      <c r="A25" s="3" t="s">
        <v>27</v>
      </c>
      <c r="B25" s="82" t="s">
        <v>28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78"/>
      <c r="V25" s="78"/>
      <c r="W25" s="78"/>
      <c r="X25" s="78"/>
      <c r="Y25" s="79"/>
    </row>
    <row r="26" spans="1:26" ht="20.100000000000001" customHeight="1" x14ac:dyDescent="0.3">
      <c r="A26" s="3" t="s">
        <v>29</v>
      </c>
      <c r="B26" s="82" t="s">
        <v>39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78"/>
      <c r="V26" s="78"/>
      <c r="W26" s="78"/>
      <c r="X26" s="78"/>
      <c r="Y26" s="79"/>
    </row>
    <row r="27" spans="1:26" ht="20.100000000000001" customHeight="1" x14ac:dyDescent="0.3">
      <c r="A27" s="3" t="s">
        <v>33</v>
      </c>
      <c r="B27" s="82" t="s">
        <v>34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78"/>
      <c r="V27" s="78"/>
      <c r="W27" s="78"/>
      <c r="X27" s="78"/>
      <c r="Y27" s="79"/>
    </row>
    <row r="28" spans="1:26" ht="20.100000000000001" customHeight="1" x14ac:dyDescent="0.3">
      <c r="A28" s="3" t="s">
        <v>30</v>
      </c>
      <c r="B28" s="82" t="s">
        <v>69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78"/>
      <c r="V28" s="78"/>
      <c r="W28" s="78"/>
      <c r="X28" s="78"/>
      <c r="Y28" s="79"/>
    </row>
    <row r="29" spans="1:26" ht="20.100000000000001" customHeight="1" x14ac:dyDescent="0.3">
      <c r="A29" s="3" t="s">
        <v>31</v>
      </c>
      <c r="B29" s="82" t="s">
        <v>32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78"/>
      <c r="V29" s="78"/>
      <c r="W29" s="78"/>
      <c r="X29" s="78"/>
      <c r="Y29" s="79"/>
    </row>
    <row r="30" spans="1:26" ht="20.100000000000001" customHeight="1" x14ac:dyDescent="0.3">
      <c r="A30" s="4" t="s">
        <v>40</v>
      </c>
      <c r="B30" s="83" t="s">
        <v>100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0"/>
      <c r="V30" s="80"/>
      <c r="W30" s="80"/>
      <c r="X30" s="80"/>
      <c r="Y30" s="81"/>
    </row>
    <row r="31" spans="1:26" s="11" customFormat="1" ht="5.0999999999999996" customHeight="1" x14ac:dyDescent="0.3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15"/>
    </row>
    <row r="32" spans="1:26" ht="20.100000000000001" customHeight="1" x14ac:dyDescent="0.3">
      <c r="A32" s="44" t="s">
        <v>41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74"/>
      <c r="Q32" s="74"/>
      <c r="R32" s="74"/>
      <c r="S32" s="74"/>
      <c r="T32" s="74"/>
      <c r="U32" s="74"/>
      <c r="V32" s="74"/>
      <c r="W32" s="74"/>
      <c r="X32" s="74"/>
      <c r="Y32" s="74"/>
    </row>
    <row r="33" spans="1:26" ht="20.100000000000001" customHeight="1" x14ac:dyDescent="0.3">
      <c r="A33" s="5" t="s">
        <v>42</v>
      </c>
      <c r="B33" s="91" t="s">
        <v>66</v>
      </c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2" t="s">
        <v>43</v>
      </c>
      <c r="N33" s="92"/>
      <c r="O33" s="91" t="s">
        <v>44</v>
      </c>
      <c r="P33" s="91"/>
      <c r="Q33" s="91"/>
      <c r="R33" s="91"/>
      <c r="S33" s="91"/>
      <c r="T33" s="91"/>
      <c r="U33" s="91"/>
      <c r="V33" s="91"/>
      <c r="W33" s="91"/>
      <c r="X33" s="91"/>
      <c r="Y33" s="93"/>
    </row>
    <row r="34" spans="1:26" ht="20.100000000000001" customHeight="1" x14ac:dyDescent="0.3">
      <c r="A34" s="6" t="s">
        <v>33</v>
      </c>
      <c r="B34" s="85" t="s">
        <v>67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6" t="s">
        <v>45</v>
      </c>
      <c r="N34" s="86"/>
      <c r="O34" s="85" t="s">
        <v>44</v>
      </c>
      <c r="P34" s="85"/>
      <c r="Q34" s="85"/>
      <c r="R34" s="85"/>
      <c r="S34" s="85"/>
      <c r="T34" s="85"/>
      <c r="U34" s="85"/>
      <c r="V34" s="85"/>
      <c r="W34" s="85"/>
      <c r="X34" s="85"/>
      <c r="Y34" s="87"/>
    </row>
    <row r="35" spans="1:26" ht="20.100000000000001" customHeight="1" x14ac:dyDescent="0.3">
      <c r="A35" s="6" t="s">
        <v>46</v>
      </c>
      <c r="B35" s="85" t="s">
        <v>44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6" t="s">
        <v>47</v>
      </c>
      <c r="N35" s="86"/>
      <c r="O35" s="85" t="s">
        <v>44</v>
      </c>
      <c r="P35" s="85"/>
      <c r="Q35" s="85"/>
      <c r="R35" s="85"/>
      <c r="S35" s="85"/>
      <c r="T35" s="85"/>
      <c r="U35" s="85"/>
      <c r="V35" s="85"/>
      <c r="W35" s="85"/>
      <c r="X35" s="85"/>
      <c r="Y35" s="87"/>
    </row>
    <row r="36" spans="1:26" ht="20.100000000000001" customHeight="1" x14ac:dyDescent="0.3">
      <c r="A36" s="7" t="s">
        <v>48</v>
      </c>
      <c r="B36" s="88" t="s">
        <v>68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9" t="s">
        <v>49</v>
      </c>
      <c r="N36" s="89"/>
      <c r="O36" s="88" t="s">
        <v>44</v>
      </c>
      <c r="P36" s="88"/>
      <c r="Q36" s="88"/>
      <c r="R36" s="88"/>
      <c r="S36" s="88"/>
      <c r="T36" s="88"/>
      <c r="U36" s="88"/>
      <c r="V36" s="88"/>
      <c r="W36" s="88"/>
      <c r="X36" s="88"/>
      <c r="Y36" s="90"/>
    </row>
    <row r="37" spans="1:26" ht="5.0999999999999996" customHeight="1" x14ac:dyDescent="0.3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</row>
    <row r="38" spans="1:26" ht="20.100000000000001" customHeight="1" x14ac:dyDescent="0.3">
      <c r="A38" s="44" t="s">
        <v>50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6" ht="20.100000000000001" customHeight="1" x14ac:dyDescent="0.3">
      <c r="A39" s="95" t="s">
        <v>72</v>
      </c>
      <c r="B39" s="98" t="s">
        <v>82</v>
      </c>
      <c r="C39" s="98"/>
      <c r="D39" s="98"/>
      <c r="E39" s="98"/>
      <c r="F39" s="98"/>
      <c r="G39" s="99" t="b">
        <v>0</v>
      </c>
      <c r="H39" s="99"/>
      <c r="I39" s="100">
        <v>2200000</v>
      </c>
      <c r="J39" s="100"/>
      <c r="K39" s="100"/>
      <c r="L39" s="100"/>
      <c r="M39" s="100"/>
      <c r="N39" s="98" t="s">
        <v>58</v>
      </c>
      <c r="O39" s="98"/>
      <c r="P39" s="98"/>
      <c r="Q39" s="98"/>
      <c r="R39" s="98"/>
      <c r="S39" s="99" t="b">
        <v>0</v>
      </c>
      <c r="T39" s="99"/>
      <c r="U39" s="100">
        <v>1500000</v>
      </c>
      <c r="V39" s="100"/>
      <c r="W39" s="100"/>
      <c r="X39" s="100"/>
      <c r="Y39" s="101"/>
    </row>
    <row r="40" spans="1:26" ht="20.100000000000001" customHeight="1" x14ac:dyDescent="0.3">
      <c r="A40" s="96"/>
      <c r="B40" s="102" t="s">
        <v>84</v>
      </c>
      <c r="C40" s="102"/>
      <c r="D40" s="102"/>
      <c r="E40" s="102"/>
      <c r="F40" s="102"/>
      <c r="G40" s="103" t="b">
        <v>0</v>
      </c>
      <c r="H40" s="103"/>
      <c r="I40" s="104">
        <v>1050000</v>
      </c>
      <c r="J40" s="104"/>
      <c r="K40" s="104"/>
      <c r="L40" s="104"/>
      <c r="M40" s="104"/>
      <c r="N40" s="102" t="s">
        <v>73</v>
      </c>
      <c r="O40" s="102"/>
      <c r="P40" s="102"/>
      <c r="Q40" s="102"/>
      <c r="R40" s="102"/>
      <c r="S40" s="103" t="b">
        <v>0</v>
      </c>
      <c r="T40" s="103"/>
      <c r="U40" s="104">
        <v>900000</v>
      </c>
      <c r="V40" s="104"/>
      <c r="W40" s="104"/>
      <c r="X40" s="104"/>
      <c r="Y40" s="105"/>
    </row>
    <row r="41" spans="1:26" ht="20.100000000000001" customHeight="1" x14ac:dyDescent="0.3">
      <c r="A41" s="96"/>
      <c r="B41" s="102" t="s">
        <v>74</v>
      </c>
      <c r="C41" s="102"/>
      <c r="D41" s="102"/>
      <c r="E41" s="102"/>
      <c r="F41" s="102"/>
      <c r="G41" s="103" t="b">
        <v>0</v>
      </c>
      <c r="H41" s="103"/>
      <c r="I41" s="106">
        <v>2200000</v>
      </c>
      <c r="J41" s="106"/>
      <c r="K41" s="106"/>
      <c r="L41" s="106"/>
      <c r="M41" s="106"/>
      <c r="N41" s="102" t="s">
        <v>86</v>
      </c>
      <c r="O41" s="102"/>
      <c r="P41" s="102"/>
      <c r="Q41" s="102"/>
      <c r="R41" s="102"/>
      <c r="S41" s="103" t="b">
        <v>0</v>
      </c>
      <c r="T41" s="103"/>
      <c r="U41" s="106">
        <v>1500000</v>
      </c>
      <c r="V41" s="106"/>
      <c r="W41" s="106"/>
      <c r="X41" s="106"/>
      <c r="Y41" s="111"/>
    </row>
    <row r="42" spans="1:26" ht="20.100000000000001" customHeight="1" x14ac:dyDescent="0.3">
      <c r="A42" s="96"/>
      <c r="B42" s="102" t="s">
        <v>85</v>
      </c>
      <c r="C42" s="102"/>
      <c r="D42" s="102"/>
      <c r="E42" s="102"/>
      <c r="F42" s="102"/>
      <c r="G42" s="103" t="b">
        <v>0</v>
      </c>
      <c r="H42" s="103"/>
      <c r="I42" s="106">
        <v>2200000</v>
      </c>
      <c r="J42" s="106"/>
      <c r="K42" s="106"/>
      <c r="L42" s="106"/>
      <c r="M42" s="106"/>
      <c r="N42" s="102"/>
      <c r="O42" s="102"/>
      <c r="P42" s="102"/>
      <c r="Q42" s="102"/>
      <c r="R42" s="102"/>
      <c r="S42" s="103" t="b">
        <v>0</v>
      </c>
      <c r="T42" s="103"/>
      <c r="U42" s="106">
        <v>0</v>
      </c>
      <c r="V42" s="106"/>
      <c r="W42" s="106"/>
      <c r="X42" s="106"/>
      <c r="Y42" s="111"/>
    </row>
    <row r="43" spans="1:26" ht="20.100000000000001" customHeight="1" x14ac:dyDescent="0.3">
      <c r="A43" s="97"/>
      <c r="B43" s="107"/>
      <c r="C43" s="107"/>
      <c r="D43" s="107"/>
      <c r="E43" s="107"/>
      <c r="F43" s="107"/>
      <c r="G43" s="108" t="b">
        <v>0</v>
      </c>
      <c r="H43" s="108"/>
      <c r="I43" s="109">
        <v>0</v>
      </c>
      <c r="J43" s="109"/>
      <c r="K43" s="109"/>
      <c r="L43" s="109"/>
      <c r="M43" s="109"/>
      <c r="N43" s="107"/>
      <c r="O43" s="107"/>
      <c r="P43" s="107"/>
      <c r="Q43" s="107"/>
      <c r="R43" s="107"/>
      <c r="S43" s="108" t="b">
        <v>0</v>
      </c>
      <c r="T43" s="108"/>
      <c r="U43" s="109">
        <v>0</v>
      </c>
      <c r="V43" s="109"/>
      <c r="W43" s="109"/>
      <c r="X43" s="109"/>
      <c r="Y43" s="110"/>
    </row>
    <row r="44" spans="1:26" s="10" customFormat="1" ht="5.0999999999999996" customHeight="1" x14ac:dyDescent="0.3">
      <c r="A44" s="19"/>
      <c r="B44" s="20">
        <f>SUMIF(G39,TRUE,I39)</f>
        <v>0</v>
      </c>
      <c r="C44" s="20">
        <f>SUMIF(G40,TRUE,I40)</f>
        <v>0</v>
      </c>
      <c r="D44" s="20">
        <f>SUMIF(G41,TRUE,I41)</f>
        <v>0</v>
      </c>
      <c r="E44" s="20">
        <f>SUMIF(G42,TRUE,I42)</f>
        <v>0</v>
      </c>
      <c r="F44" s="20">
        <f>SUMIF(G43,TRUE,I43)</f>
        <v>0</v>
      </c>
      <c r="G44" s="20"/>
      <c r="H44" s="20"/>
      <c r="I44" s="20"/>
      <c r="J44" s="20"/>
      <c r="K44" s="20"/>
      <c r="L44" s="20"/>
      <c r="M44" s="20"/>
      <c r="N44" s="20">
        <f>SUMIF(S39,TRUE,U39)</f>
        <v>0</v>
      </c>
      <c r="O44" s="20">
        <f>SUMIF(S40,TRUE,U40)</f>
        <v>0</v>
      </c>
      <c r="P44" s="20">
        <f>SUMIF(S41,TRUE,U41)</f>
        <v>0</v>
      </c>
      <c r="Q44" s="20">
        <f>SUMIF(S42,TRUE,U42)</f>
        <v>0</v>
      </c>
      <c r="R44" s="20">
        <f>SUMIF(S43,TRUE,U43)</f>
        <v>0</v>
      </c>
      <c r="S44" s="20"/>
      <c r="T44" s="20"/>
      <c r="U44" s="20"/>
      <c r="V44" s="20"/>
      <c r="W44" s="20"/>
      <c r="X44" s="20"/>
      <c r="Y44" s="20"/>
      <c r="Z44" s="15">
        <f>SUM(B44:Y44)</f>
        <v>0</v>
      </c>
    </row>
    <row r="45" spans="1:26" ht="20.100000000000001" customHeight="1" x14ac:dyDescent="0.3">
      <c r="A45" s="44" t="s">
        <v>51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6" ht="20.100000000000001" customHeight="1" x14ac:dyDescent="0.3">
      <c r="A46" s="9" t="s">
        <v>52</v>
      </c>
      <c r="B46" s="121">
        <f>SUM(Z8:Z13)</f>
        <v>51160000</v>
      </c>
      <c r="C46" s="121"/>
      <c r="D46" s="121"/>
      <c r="E46" s="121"/>
      <c r="F46" s="121"/>
      <c r="G46" s="122" t="s">
        <v>53</v>
      </c>
      <c r="H46" s="122"/>
      <c r="I46" s="122"/>
      <c r="J46" s="121">
        <f>U15</f>
        <v>32840000</v>
      </c>
      <c r="K46" s="121"/>
      <c r="L46" s="121"/>
      <c r="M46" s="121"/>
      <c r="N46" s="121"/>
      <c r="O46" s="122" t="s">
        <v>54</v>
      </c>
      <c r="P46" s="122"/>
      <c r="Q46" s="122"/>
      <c r="R46" s="122"/>
      <c r="S46" s="122"/>
      <c r="T46" s="121">
        <f>Z44</f>
        <v>0</v>
      </c>
      <c r="U46" s="121"/>
      <c r="V46" s="121"/>
      <c r="W46" s="121"/>
      <c r="X46" s="121"/>
      <c r="Y46" s="123"/>
    </row>
    <row r="47" spans="1:26" ht="20.100000000000001" customHeight="1" x14ac:dyDescent="0.3">
      <c r="A47" s="116" t="s">
        <v>56</v>
      </c>
      <c r="B47" s="117"/>
      <c r="C47" s="117"/>
      <c r="D47" s="117"/>
      <c r="E47" s="117"/>
      <c r="F47" s="117"/>
      <c r="G47" s="117"/>
      <c r="H47" s="117"/>
      <c r="I47" s="117"/>
      <c r="J47" s="117"/>
      <c r="K47" s="118">
        <v>2000000</v>
      </c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20"/>
    </row>
    <row r="48" spans="1:26" ht="20.100000000000001" customHeight="1" x14ac:dyDescent="0.3">
      <c r="A48" s="136" t="s">
        <v>57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18">
        <f>K50-K47</f>
        <v>77500000</v>
      </c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20"/>
    </row>
    <row r="49" spans="1:25" ht="20.100000000000001" customHeight="1" x14ac:dyDescent="0.3">
      <c r="A49" s="143" t="s">
        <v>101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0">
        <v>-4500000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2"/>
    </row>
    <row r="50" spans="1:25" ht="20.100000000000001" customHeight="1" x14ac:dyDescent="0.3">
      <c r="A50" s="112" t="s">
        <v>55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4">
        <f>SUM(B46,J46,T46,K49)</f>
        <v>79500000</v>
      </c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5"/>
    </row>
    <row r="51" spans="1:25" ht="58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</sheetData>
  <mergeCells count="131">
    <mergeCell ref="A50:J50"/>
    <mergeCell ref="K50:Y50"/>
    <mergeCell ref="A47:J47"/>
    <mergeCell ref="K47:Y47"/>
    <mergeCell ref="A48:J48"/>
    <mergeCell ref="K48:Y48"/>
    <mergeCell ref="A45:O45"/>
    <mergeCell ref="B46:F46"/>
    <mergeCell ref="G46:I46"/>
    <mergeCell ref="J46:N46"/>
    <mergeCell ref="O46:S46"/>
    <mergeCell ref="T46:Y46"/>
    <mergeCell ref="A49:J49"/>
    <mergeCell ref="K49:Y49"/>
    <mergeCell ref="S43:T43"/>
    <mergeCell ref="U43:Y43"/>
    <mergeCell ref="U41:Y41"/>
    <mergeCell ref="B42:F42"/>
    <mergeCell ref="G42:H42"/>
    <mergeCell ref="I42:M42"/>
    <mergeCell ref="N42:R42"/>
    <mergeCell ref="S42:T42"/>
    <mergeCell ref="U42:Y42"/>
    <mergeCell ref="A37:Y37"/>
    <mergeCell ref="A38:O38"/>
    <mergeCell ref="A39:A43"/>
    <mergeCell ref="B39:F39"/>
    <mergeCell ref="G39:H39"/>
    <mergeCell ref="I39:M39"/>
    <mergeCell ref="N39:R39"/>
    <mergeCell ref="S39:T39"/>
    <mergeCell ref="U39:Y39"/>
    <mergeCell ref="B40:F40"/>
    <mergeCell ref="G40:H40"/>
    <mergeCell ref="I40:M40"/>
    <mergeCell ref="N40:R40"/>
    <mergeCell ref="S40:T40"/>
    <mergeCell ref="U40:Y40"/>
    <mergeCell ref="B41:F41"/>
    <mergeCell ref="G41:H41"/>
    <mergeCell ref="I41:M41"/>
    <mergeCell ref="N41:R41"/>
    <mergeCell ref="S41:T41"/>
    <mergeCell ref="B43:F43"/>
    <mergeCell ref="G43:H43"/>
    <mergeCell ref="I43:M43"/>
    <mergeCell ref="N43:R43"/>
    <mergeCell ref="B36:L36"/>
    <mergeCell ref="M36:N36"/>
    <mergeCell ref="O36:Y36"/>
    <mergeCell ref="A32:O32"/>
    <mergeCell ref="P32:Y32"/>
    <mergeCell ref="B33:L33"/>
    <mergeCell ref="M33:N33"/>
    <mergeCell ref="O33:Y33"/>
    <mergeCell ref="B34:L34"/>
    <mergeCell ref="M34:N34"/>
    <mergeCell ref="O34:Y34"/>
    <mergeCell ref="A31:Y31"/>
    <mergeCell ref="B20:T20"/>
    <mergeCell ref="B21:T21"/>
    <mergeCell ref="B22:T22"/>
    <mergeCell ref="B23:T23"/>
    <mergeCell ref="B24:T24"/>
    <mergeCell ref="B25:T25"/>
    <mergeCell ref="B35:L35"/>
    <mergeCell ref="M35:N35"/>
    <mergeCell ref="O35:Y35"/>
    <mergeCell ref="B13:M13"/>
    <mergeCell ref="N13:Y13"/>
    <mergeCell ref="A14:O14"/>
    <mergeCell ref="P14:Y14"/>
    <mergeCell ref="B15:T15"/>
    <mergeCell ref="U15:Y30"/>
    <mergeCell ref="B16:T16"/>
    <mergeCell ref="B17:T17"/>
    <mergeCell ref="B18:T18"/>
    <mergeCell ref="B19:T19"/>
    <mergeCell ref="B26:T26"/>
    <mergeCell ref="B27:T27"/>
    <mergeCell ref="B28:T28"/>
    <mergeCell ref="B29:T29"/>
    <mergeCell ref="B30:T30"/>
    <mergeCell ref="B12:D12"/>
    <mergeCell ref="E12:I12"/>
    <mergeCell ref="J12:L12"/>
    <mergeCell ref="M12:Q12"/>
    <mergeCell ref="R12:T12"/>
    <mergeCell ref="U12:Y12"/>
    <mergeCell ref="B10:Y10"/>
    <mergeCell ref="B11:D11"/>
    <mergeCell ref="E11:I11"/>
    <mergeCell ref="J11:K11"/>
    <mergeCell ref="L11:O11"/>
    <mergeCell ref="P11:Q11"/>
    <mergeCell ref="R11:T11"/>
    <mergeCell ref="U11:Y11"/>
    <mergeCell ref="V8:Y8"/>
    <mergeCell ref="B9:F9"/>
    <mergeCell ref="G9:H9"/>
    <mergeCell ref="I9:M9"/>
    <mergeCell ref="N9:R9"/>
    <mergeCell ref="S9:U9"/>
    <mergeCell ref="V9:Y9"/>
    <mergeCell ref="B6:I6"/>
    <mergeCell ref="J6:Q6"/>
    <mergeCell ref="R6:Y6"/>
    <mergeCell ref="A7:O7"/>
    <mergeCell ref="P7:Y7"/>
    <mergeCell ref="B8:F8"/>
    <mergeCell ref="G8:H8"/>
    <mergeCell ref="I8:M8"/>
    <mergeCell ref="N8:R8"/>
    <mergeCell ref="S8:U8"/>
    <mergeCell ref="O3:U3"/>
    <mergeCell ref="B4:C4"/>
    <mergeCell ref="D4:J4"/>
    <mergeCell ref="K4:N4"/>
    <mergeCell ref="O4:U4"/>
    <mergeCell ref="B5:C5"/>
    <mergeCell ref="D5:U5"/>
    <mergeCell ref="A1:Y1"/>
    <mergeCell ref="A2:A5"/>
    <mergeCell ref="B2:C2"/>
    <mergeCell ref="D2:J2"/>
    <mergeCell ref="K2:N2"/>
    <mergeCell ref="O2:U2"/>
    <mergeCell ref="V2:Y5"/>
    <mergeCell ref="B3:C3"/>
    <mergeCell ref="D3:J3"/>
    <mergeCell ref="K3:N3"/>
  </mergeCells>
  <phoneticPr fontId="1" type="noConversion"/>
  <conditionalFormatting sqref="B10">
    <cfRule type="expression" dxfId="41" priority="22">
      <formula>$B$10</formula>
    </cfRule>
  </conditionalFormatting>
  <conditionalFormatting sqref="B11:I11">
    <cfRule type="expression" dxfId="40" priority="12">
      <formula>$B$11</formula>
    </cfRule>
  </conditionalFormatting>
  <conditionalFormatting sqref="B12:I12">
    <cfRule type="expression" dxfId="39" priority="19">
      <formula>$B$12</formula>
    </cfRule>
  </conditionalFormatting>
  <conditionalFormatting sqref="B8:M8">
    <cfRule type="expression" dxfId="38" priority="11">
      <formula>$B$8</formula>
    </cfRule>
  </conditionalFormatting>
  <conditionalFormatting sqref="B9:M9">
    <cfRule type="expression" dxfId="37" priority="9">
      <formula>$B$9</formula>
    </cfRule>
  </conditionalFormatting>
  <conditionalFormatting sqref="B39:M39">
    <cfRule type="expression" dxfId="36" priority="16">
      <formula>$G$39</formula>
    </cfRule>
  </conditionalFormatting>
  <conditionalFormatting sqref="B40:M40">
    <cfRule type="expression" dxfId="35" priority="14">
      <formula>$G$40</formula>
    </cfRule>
  </conditionalFormatting>
  <conditionalFormatting sqref="B41:M41">
    <cfRule type="expression" dxfId="34" priority="7">
      <formula>$G$41</formula>
    </cfRule>
  </conditionalFormatting>
  <conditionalFormatting sqref="B42:M42">
    <cfRule type="expression" dxfId="33" priority="6">
      <formula>$G$42</formula>
    </cfRule>
  </conditionalFormatting>
  <conditionalFormatting sqref="B43:M43">
    <cfRule type="expression" dxfId="32" priority="5">
      <formula>$G$43</formula>
    </cfRule>
  </conditionalFormatting>
  <conditionalFormatting sqref="J11:Q11">
    <cfRule type="expression" dxfId="31" priority="21">
      <formula>$J$11</formula>
    </cfRule>
  </conditionalFormatting>
  <conditionalFormatting sqref="J12:Q12">
    <cfRule type="expression" dxfId="30" priority="18">
      <formula>$J$12</formula>
    </cfRule>
  </conditionalFormatting>
  <conditionalFormatting sqref="N39:U39">
    <cfRule type="expression" dxfId="29" priority="15">
      <formula>$S$39</formula>
    </cfRule>
  </conditionalFormatting>
  <conditionalFormatting sqref="N8:Y8">
    <cfRule type="expression" dxfId="28" priority="10">
      <formula>$N$8</formula>
    </cfRule>
  </conditionalFormatting>
  <conditionalFormatting sqref="N9:Y9">
    <cfRule type="expression" dxfId="27" priority="8">
      <formula>$N$9</formula>
    </cfRule>
  </conditionalFormatting>
  <conditionalFormatting sqref="N40:Y40">
    <cfRule type="expression" dxfId="26" priority="13">
      <formula>$S$40</formula>
    </cfRule>
  </conditionalFormatting>
  <conditionalFormatting sqref="N41:Y41">
    <cfRule type="expression" dxfId="25" priority="3">
      <formula>$S$41</formula>
    </cfRule>
    <cfRule type="expression" priority="4">
      <formula>$S$41</formula>
    </cfRule>
  </conditionalFormatting>
  <conditionalFormatting sqref="N42:Y42">
    <cfRule type="expression" dxfId="24" priority="2">
      <formula>$S$42</formula>
    </cfRule>
  </conditionalFormatting>
  <conditionalFormatting sqref="N43:Y43">
    <cfRule type="expression" dxfId="23" priority="1">
      <formula>$S$43</formula>
    </cfRule>
  </conditionalFormatting>
  <conditionalFormatting sqref="R11:Y11">
    <cfRule type="expression" dxfId="22" priority="20">
      <formula>$R$11</formula>
    </cfRule>
  </conditionalFormatting>
  <conditionalFormatting sqref="R12:Y12">
    <cfRule type="expression" dxfId="21" priority="17">
      <formula>$R$12</formula>
    </cfRule>
  </conditionalFormatting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77" orientation="portrait" r:id="rId1"/>
  <colBreaks count="1" manualBreakCount="1"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defaultSize="0" autoFill="0" autoLine="0" autoPict="0">
                <anchor moveWithCells="1">
                  <from>
                    <xdr:col>5</xdr:col>
                    <xdr:colOff>47625</xdr:colOff>
                    <xdr:row>7</xdr:row>
                    <xdr:rowOff>28575</xdr:rowOff>
                  </from>
                  <to>
                    <xdr:col>5</xdr:col>
                    <xdr:colOff>266700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 moveWithCells="1">
                  <from>
                    <xdr:col>5</xdr:col>
                    <xdr:colOff>47625</xdr:colOff>
                    <xdr:row>8</xdr:row>
                    <xdr:rowOff>28575</xdr:rowOff>
                  </from>
                  <to>
                    <xdr:col>5</xdr:col>
                    <xdr:colOff>266700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>
                <anchor moveWithCells="1">
                  <from>
                    <xdr:col>17</xdr:col>
                    <xdr:colOff>19050</xdr:colOff>
                    <xdr:row>7</xdr:row>
                    <xdr:rowOff>28575</xdr:rowOff>
                  </from>
                  <to>
                    <xdr:col>17</xdr:col>
                    <xdr:colOff>238125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>
                <anchor moveWithCells="1">
                  <from>
                    <xdr:col>10</xdr:col>
                    <xdr:colOff>266700</xdr:colOff>
                    <xdr:row>10</xdr:row>
                    <xdr:rowOff>28575</xdr:rowOff>
                  </from>
                  <to>
                    <xdr:col>11</xdr:col>
                    <xdr:colOff>133350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Check Box 5">
              <controlPr defaultSize="0" autoFill="0" autoLine="0" autoPict="0">
                <anchor moveWithCells="1">
                  <from>
                    <xdr:col>2</xdr:col>
                    <xdr:colOff>304800</xdr:colOff>
                    <xdr:row>11</xdr:row>
                    <xdr:rowOff>19050</xdr:rowOff>
                  </from>
                  <to>
                    <xdr:col>3</xdr:col>
                    <xdr:colOff>171450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9" name="Check Box 6">
              <controlPr defaultSize="0" autoFill="0" autoLine="0" autoPict="0">
                <anchor moveWithCells="1">
                  <from>
                    <xdr:col>19</xdr:col>
                    <xdr:colOff>47625</xdr:colOff>
                    <xdr:row>10</xdr:row>
                    <xdr:rowOff>28575</xdr:rowOff>
                  </from>
                  <to>
                    <xdr:col>19</xdr:col>
                    <xdr:colOff>266700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0" name="Check Box 7">
              <controlPr defaultSize="0" autoFill="0" autoLine="0" autoPict="0">
                <anchor moveWithCells="1">
                  <from>
                    <xdr:col>2</xdr:col>
                    <xdr:colOff>304800</xdr:colOff>
                    <xdr:row>10</xdr:row>
                    <xdr:rowOff>28575</xdr:rowOff>
                  </from>
                  <to>
                    <xdr:col>3</xdr:col>
                    <xdr:colOff>171450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1" name="Check Box 8">
              <controlPr defaultSize="0" autoFill="0" autoLine="0" autoPict="0">
                <anchor moveWithCells="1">
                  <from>
                    <xdr:col>10</xdr:col>
                    <xdr:colOff>266700</xdr:colOff>
                    <xdr:row>11</xdr:row>
                    <xdr:rowOff>28575</xdr:rowOff>
                  </from>
                  <to>
                    <xdr:col>11</xdr:col>
                    <xdr:colOff>133350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2" name="Check Box 9">
              <controlPr defaultSize="0" autoFill="0" autoLine="0" autoPict="0">
                <anchor moveWithCells="1">
                  <from>
                    <xdr:col>19</xdr:col>
                    <xdr:colOff>47625</xdr:colOff>
                    <xdr:row>11</xdr:row>
                    <xdr:rowOff>28575</xdr:rowOff>
                  </from>
                  <to>
                    <xdr:col>19</xdr:col>
                    <xdr:colOff>266700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3" name="Check Box 10">
              <controlPr defaultSize="0" autoFill="0" autoLine="0" autoPict="0">
                <anchor moveWithCells="1">
                  <from>
                    <xdr:col>6</xdr:col>
                    <xdr:colOff>209550</xdr:colOff>
                    <xdr:row>38</xdr:row>
                    <xdr:rowOff>28575</xdr:rowOff>
                  </from>
                  <to>
                    <xdr:col>7</xdr:col>
                    <xdr:colOff>28575</xdr:colOff>
                    <xdr:row>38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4" name="Check Box 11">
              <controlPr defaultSize="0" autoFill="0" autoLine="0" autoPict="0">
                <anchor moveWithCells="1">
                  <from>
                    <xdr:col>18</xdr:col>
                    <xdr:colOff>209550</xdr:colOff>
                    <xdr:row>38</xdr:row>
                    <xdr:rowOff>38100</xdr:rowOff>
                  </from>
                  <to>
                    <xdr:col>19</xdr:col>
                    <xdr:colOff>28575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5" name="Check Box 12">
              <controlPr defaultSize="0" autoFill="0" autoLine="0" autoPict="0">
                <anchor moveWithCells="1">
                  <from>
                    <xdr:col>18</xdr:col>
                    <xdr:colOff>209550</xdr:colOff>
                    <xdr:row>39</xdr:row>
                    <xdr:rowOff>38100</xdr:rowOff>
                  </from>
                  <to>
                    <xdr:col>19</xdr:col>
                    <xdr:colOff>47625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16" name="Check Box 13">
              <controlPr defaultSize="0" autoFill="0" autoLine="0" autoPict="0">
                <anchor moveWithCells="1">
                  <from>
                    <xdr:col>6</xdr:col>
                    <xdr:colOff>209550</xdr:colOff>
                    <xdr:row>39</xdr:row>
                    <xdr:rowOff>38100</xdr:rowOff>
                  </from>
                  <to>
                    <xdr:col>7</xdr:col>
                    <xdr:colOff>47625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17" name="Check Box 14">
              <controlPr defaultSize="0" autoFill="0" autoLine="0" autoPict="0">
                <anchor moveWithCells="1">
                  <from>
                    <xdr:col>6</xdr:col>
                    <xdr:colOff>209550</xdr:colOff>
                    <xdr:row>40</xdr:row>
                    <xdr:rowOff>28575</xdr:rowOff>
                  </from>
                  <to>
                    <xdr:col>7</xdr:col>
                    <xdr:colOff>47625</xdr:colOff>
                    <xdr:row>40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18" name="Check Box 15">
              <controlPr defaultSize="0" autoFill="0" autoLine="0" autoPict="0">
                <anchor moveWithCells="1">
                  <from>
                    <xdr:col>18</xdr:col>
                    <xdr:colOff>209550</xdr:colOff>
                    <xdr:row>40</xdr:row>
                    <xdr:rowOff>38100</xdr:rowOff>
                  </from>
                  <to>
                    <xdr:col>19</xdr:col>
                    <xdr:colOff>47625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8" r:id="rId19" name="Check Box 16">
              <controlPr defaultSize="0" autoFill="0" autoLine="0" autoPict="0">
                <anchor moveWithCells="1">
                  <from>
                    <xdr:col>17</xdr:col>
                    <xdr:colOff>19050</xdr:colOff>
                    <xdr:row>8</xdr:row>
                    <xdr:rowOff>28575</xdr:rowOff>
                  </from>
                  <to>
                    <xdr:col>17</xdr:col>
                    <xdr:colOff>238125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20" name="Check Box 17">
              <controlPr defaultSize="0" autoFill="0" autoLine="0" autoPict="0">
                <anchor moveWithCells="1">
                  <from>
                    <xdr:col>6</xdr:col>
                    <xdr:colOff>209550</xdr:colOff>
                    <xdr:row>41</xdr:row>
                    <xdr:rowOff>19050</xdr:rowOff>
                  </from>
                  <to>
                    <xdr:col>7</xdr:col>
                    <xdr:colOff>95250</xdr:colOff>
                    <xdr:row>41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21" name="Check Box 18">
              <controlPr defaultSize="0" autoFill="0" autoLine="0" autoPict="0">
                <anchor moveWithCells="1">
                  <from>
                    <xdr:col>18</xdr:col>
                    <xdr:colOff>209550</xdr:colOff>
                    <xdr:row>41</xdr:row>
                    <xdr:rowOff>38100</xdr:rowOff>
                  </from>
                  <to>
                    <xdr:col>19</xdr:col>
                    <xdr:colOff>57150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1" r:id="rId22" name="Check Box 19">
              <controlPr defaultSize="0" autoFill="0" autoLine="0" autoPict="0">
                <anchor moveWithCells="1">
                  <from>
                    <xdr:col>6</xdr:col>
                    <xdr:colOff>209550</xdr:colOff>
                    <xdr:row>42</xdr:row>
                    <xdr:rowOff>28575</xdr:rowOff>
                  </from>
                  <to>
                    <xdr:col>7</xdr:col>
                    <xdr:colOff>95250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2" r:id="rId23" name="Check Box 20">
              <controlPr defaultSize="0" autoFill="0" autoLine="0" autoPict="0">
                <anchor moveWithCells="1">
                  <from>
                    <xdr:col>18</xdr:col>
                    <xdr:colOff>209550</xdr:colOff>
                    <xdr:row>42</xdr:row>
                    <xdr:rowOff>28575</xdr:rowOff>
                  </from>
                  <to>
                    <xdr:col>19</xdr:col>
                    <xdr:colOff>95250</xdr:colOff>
                    <xdr:row>42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ACB8-7535-497D-B516-6CA5AA89D750}">
  <sheetPr>
    <pageSetUpPr fitToPage="1"/>
  </sheetPr>
  <dimension ref="A1:AC53"/>
  <sheetViews>
    <sheetView tabSelected="1" view="pageBreakPreview" zoomScaleNormal="100" zoomScaleSheetLayoutView="100" workbookViewId="0">
      <selection activeCell="AI45" sqref="AI45"/>
    </sheetView>
  </sheetViews>
  <sheetFormatPr defaultColWidth="3.625" defaultRowHeight="15" customHeight="1" x14ac:dyDescent="0.3"/>
  <cols>
    <col min="1" max="1" width="8.5" style="1" customWidth="1"/>
    <col min="2" max="2" width="3.625" style="1" customWidth="1"/>
    <col min="3" max="7" width="4.625" style="1" customWidth="1"/>
    <col min="8" max="8" width="3.625" style="1" customWidth="1"/>
    <col min="9" max="13" width="4.625" style="1" customWidth="1"/>
    <col min="14" max="14" width="3.625" style="1" customWidth="1"/>
    <col min="15" max="19" width="4.625" style="1" customWidth="1"/>
    <col min="20" max="20" width="3.625" style="1" customWidth="1"/>
    <col min="21" max="25" width="4.625" style="1" customWidth="1"/>
    <col min="26" max="26" width="10.5" style="15" bestFit="1" customWidth="1"/>
    <col min="27" max="16384" width="3.625" style="1"/>
  </cols>
  <sheetData>
    <row r="1" spans="1:29" ht="35.25" customHeight="1" x14ac:dyDescent="0.3">
      <c r="A1" s="25" t="s">
        <v>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9" ht="20.100000000000001" customHeight="1" x14ac:dyDescent="0.3">
      <c r="A2" s="26" t="s">
        <v>0</v>
      </c>
      <c r="B2" s="29" t="s">
        <v>1</v>
      </c>
      <c r="C2" s="29"/>
      <c r="D2" s="29"/>
      <c r="E2" s="29"/>
      <c r="F2" s="29"/>
      <c r="G2" s="29"/>
      <c r="H2" s="29"/>
      <c r="I2" s="29"/>
      <c r="J2" s="29"/>
      <c r="K2" s="29" t="s">
        <v>4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30"/>
    </row>
    <row r="3" spans="1:29" ht="20.100000000000001" customHeight="1" x14ac:dyDescent="0.3">
      <c r="A3" s="27"/>
      <c r="B3" s="23" t="s">
        <v>2</v>
      </c>
      <c r="C3" s="23"/>
      <c r="D3" s="23"/>
      <c r="E3" s="23"/>
      <c r="F3" s="23"/>
      <c r="G3" s="23"/>
      <c r="H3" s="23"/>
      <c r="I3" s="23"/>
      <c r="J3" s="23"/>
      <c r="K3" s="23" t="s">
        <v>5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31"/>
    </row>
    <row r="4" spans="1:29" ht="20.100000000000001" customHeight="1" x14ac:dyDescent="0.3">
      <c r="A4" s="27"/>
      <c r="B4" s="23" t="s">
        <v>8</v>
      </c>
      <c r="C4" s="23"/>
      <c r="D4" s="23"/>
      <c r="E4" s="23"/>
      <c r="F4" s="23"/>
      <c r="G4" s="23"/>
      <c r="H4" s="23"/>
      <c r="I4" s="23"/>
      <c r="J4" s="23"/>
      <c r="K4" s="23" t="s">
        <v>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31"/>
    </row>
    <row r="5" spans="1:29" ht="20.100000000000001" customHeight="1" x14ac:dyDescent="0.3">
      <c r="A5" s="28"/>
      <c r="B5" s="24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32"/>
    </row>
    <row r="6" spans="1:29" s="15" customFormat="1" ht="5.0999999999999996" customHeight="1" x14ac:dyDescent="0.3">
      <c r="A6" s="14"/>
      <c r="B6" s="43"/>
      <c r="C6" s="43"/>
      <c r="D6" s="43"/>
      <c r="E6" s="43"/>
      <c r="F6" s="43"/>
      <c r="G6" s="43"/>
      <c r="H6" s="43"/>
      <c r="I6" s="43"/>
      <c r="J6" s="43">
        <f>SUMIF(J8,TRUE,O8)</f>
        <v>0</v>
      </c>
      <c r="K6" s="43"/>
      <c r="L6" s="43"/>
      <c r="M6" s="43"/>
      <c r="N6" s="43"/>
      <c r="O6" s="43"/>
      <c r="P6" s="43"/>
      <c r="Q6" s="43"/>
      <c r="R6" s="43">
        <f>SUMIF(N8,TRUE,W8)</f>
        <v>0</v>
      </c>
      <c r="S6" s="43"/>
      <c r="T6" s="43"/>
      <c r="U6" s="43"/>
      <c r="V6" s="43"/>
      <c r="W6" s="43"/>
      <c r="X6" s="43"/>
      <c r="Y6" s="43"/>
    </row>
    <row r="7" spans="1:29" ht="20.100000000000001" customHeight="1" x14ac:dyDescent="0.3">
      <c r="A7" s="44" t="s">
        <v>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</row>
    <row r="8" spans="1:29" ht="20.100000000000001" customHeight="1" x14ac:dyDescent="0.3">
      <c r="A8" s="12" t="s">
        <v>7</v>
      </c>
      <c r="B8" s="46" t="b">
        <v>1</v>
      </c>
      <c r="C8" s="47"/>
      <c r="D8" s="47"/>
      <c r="E8" s="47"/>
      <c r="F8" s="47"/>
      <c r="G8" s="48" t="s">
        <v>12</v>
      </c>
      <c r="H8" s="48"/>
      <c r="I8" s="48"/>
      <c r="J8" s="48"/>
      <c r="K8" s="48"/>
      <c r="L8" s="48"/>
      <c r="M8" s="49"/>
      <c r="N8" s="50" t="b">
        <v>0</v>
      </c>
      <c r="O8" s="47"/>
      <c r="P8" s="47"/>
      <c r="Q8" s="47"/>
      <c r="R8" s="47"/>
      <c r="S8" s="48" t="s">
        <v>13</v>
      </c>
      <c r="T8" s="48"/>
      <c r="U8" s="48"/>
      <c r="V8" s="33">
        <v>4550000</v>
      </c>
      <c r="W8" s="33"/>
      <c r="X8" s="33"/>
      <c r="Y8" s="34"/>
      <c r="Z8" s="15">
        <f>SUMIF(N8,TRUE,V8)</f>
        <v>0</v>
      </c>
    </row>
    <row r="9" spans="1:29" ht="20.100000000000001" customHeight="1" x14ac:dyDescent="0.3">
      <c r="A9" s="17" t="s">
        <v>10</v>
      </c>
      <c r="B9" s="35" t="b">
        <v>1</v>
      </c>
      <c r="C9" s="36"/>
      <c r="D9" s="36"/>
      <c r="E9" s="36"/>
      <c r="F9" s="36"/>
      <c r="G9" s="37" t="s">
        <v>11</v>
      </c>
      <c r="H9" s="37"/>
      <c r="I9" s="38">
        <v>51160000</v>
      </c>
      <c r="J9" s="38"/>
      <c r="K9" s="38"/>
      <c r="L9" s="38"/>
      <c r="M9" s="39"/>
      <c r="N9" s="40" t="b">
        <v>0</v>
      </c>
      <c r="O9" s="36"/>
      <c r="P9" s="36"/>
      <c r="Q9" s="36"/>
      <c r="R9" s="36"/>
      <c r="S9" s="37" t="s">
        <v>75</v>
      </c>
      <c r="T9" s="37"/>
      <c r="U9" s="37"/>
      <c r="V9" s="41">
        <v>51220000</v>
      </c>
      <c r="W9" s="41"/>
      <c r="X9" s="41"/>
      <c r="Y9" s="42"/>
      <c r="AC9" s="1" t="s">
        <v>70</v>
      </c>
    </row>
    <row r="10" spans="1:29" ht="20.100000000000001" customHeight="1" x14ac:dyDescent="0.3">
      <c r="A10" s="16" t="s">
        <v>76</v>
      </c>
      <c r="B10" s="58" t="s">
        <v>77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60"/>
    </row>
    <row r="11" spans="1:29" ht="20.100000000000001" customHeight="1" x14ac:dyDescent="0.3">
      <c r="A11" s="18" t="s">
        <v>14</v>
      </c>
      <c r="B11" s="61" t="b">
        <v>0</v>
      </c>
      <c r="C11" s="62"/>
      <c r="D11" s="62"/>
      <c r="E11" s="63" t="s">
        <v>16</v>
      </c>
      <c r="F11" s="63"/>
      <c r="G11" s="63"/>
      <c r="H11" s="63"/>
      <c r="I11" s="64"/>
      <c r="J11" s="65" t="b">
        <v>0</v>
      </c>
      <c r="K11" s="62"/>
      <c r="L11" s="66" t="s">
        <v>17</v>
      </c>
      <c r="M11" s="66"/>
      <c r="N11" s="66"/>
      <c r="O11" s="66"/>
      <c r="P11" s="67"/>
      <c r="Q11" s="68"/>
      <c r="R11" s="69" t="b">
        <v>0</v>
      </c>
      <c r="S11" s="70"/>
      <c r="T11" s="70"/>
      <c r="U11" s="71" t="s">
        <v>78</v>
      </c>
      <c r="V11" s="71"/>
      <c r="W11" s="71"/>
      <c r="X11" s="71"/>
      <c r="Y11" s="72"/>
    </row>
    <row r="12" spans="1:29" ht="20.100000000000001" customHeight="1" x14ac:dyDescent="0.3">
      <c r="A12" s="13" t="s">
        <v>15</v>
      </c>
      <c r="B12" s="51" t="b">
        <v>0</v>
      </c>
      <c r="C12" s="52"/>
      <c r="D12" s="52"/>
      <c r="E12" s="53" t="s">
        <v>18</v>
      </c>
      <c r="F12" s="53"/>
      <c r="G12" s="53"/>
      <c r="H12" s="53"/>
      <c r="I12" s="54"/>
      <c r="J12" s="52" t="b">
        <v>0</v>
      </c>
      <c r="K12" s="52"/>
      <c r="L12" s="52"/>
      <c r="M12" s="53" t="s">
        <v>19</v>
      </c>
      <c r="N12" s="53"/>
      <c r="O12" s="53"/>
      <c r="P12" s="53"/>
      <c r="Q12" s="54"/>
      <c r="R12" s="55" t="b">
        <v>0</v>
      </c>
      <c r="S12" s="55"/>
      <c r="T12" s="55"/>
      <c r="U12" s="56" t="s">
        <v>71</v>
      </c>
      <c r="V12" s="56"/>
      <c r="W12" s="56"/>
      <c r="X12" s="56"/>
      <c r="Y12" s="57"/>
    </row>
    <row r="13" spans="1:29" s="15" customFormat="1" ht="5.0999999999999996" customHeight="1" x14ac:dyDescent="0.3">
      <c r="A13" s="21"/>
      <c r="B13" s="73">
        <f>SUMIF(B9,TRUE,I9)</f>
        <v>51160000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>
        <f>SUMIF(N9,TRUE,V9)</f>
        <v>0</v>
      </c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15">
        <f>SUM(B13,N13)</f>
        <v>51160000</v>
      </c>
    </row>
    <row r="14" spans="1:29" ht="20.100000000000001" customHeight="1" x14ac:dyDescent="0.3">
      <c r="A14" s="44" t="s">
        <v>20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spans="1:29" ht="15" customHeight="1" x14ac:dyDescent="0.3">
      <c r="A15" s="2" t="s">
        <v>21</v>
      </c>
      <c r="B15" s="130" t="s">
        <v>59</v>
      </c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2"/>
      <c r="U15" s="76">
        <v>47840000</v>
      </c>
      <c r="V15" s="76"/>
      <c r="W15" s="76"/>
      <c r="X15" s="76"/>
      <c r="Y15" s="77"/>
      <c r="Z15" s="10"/>
    </row>
    <row r="16" spans="1:29" ht="15" customHeight="1" x14ac:dyDescent="0.3">
      <c r="A16" s="3" t="s">
        <v>22</v>
      </c>
      <c r="B16" s="126" t="s">
        <v>60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8"/>
      <c r="U16" s="78"/>
      <c r="V16" s="78"/>
      <c r="W16" s="78"/>
      <c r="X16" s="78"/>
      <c r="Y16" s="79"/>
      <c r="Z16" s="10"/>
    </row>
    <row r="17" spans="1:26" ht="15" customHeight="1" x14ac:dyDescent="0.3">
      <c r="A17" s="124" t="s">
        <v>23</v>
      </c>
      <c r="B17" s="126" t="s">
        <v>79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8"/>
      <c r="U17" s="78"/>
      <c r="V17" s="78"/>
      <c r="W17" s="78"/>
      <c r="X17" s="78"/>
      <c r="Y17" s="79"/>
      <c r="Z17" s="10"/>
    </row>
    <row r="18" spans="1:26" ht="15" customHeight="1" x14ac:dyDescent="0.3">
      <c r="A18" s="125"/>
      <c r="B18" s="126" t="s">
        <v>97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8"/>
      <c r="U18" s="78"/>
      <c r="V18" s="78"/>
      <c r="W18" s="78"/>
      <c r="X18" s="78"/>
      <c r="Y18" s="79"/>
      <c r="Z18" s="10"/>
    </row>
    <row r="19" spans="1:26" ht="15" customHeight="1" x14ac:dyDescent="0.3">
      <c r="A19" s="3" t="s">
        <v>65</v>
      </c>
      <c r="B19" s="126" t="s">
        <v>87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8"/>
      <c r="U19" s="78"/>
      <c r="V19" s="78"/>
      <c r="W19" s="78"/>
      <c r="X19" s="78"/>
      <c r="Y19" s="79"/>
      <c r="Z19" s="10"/>
    </row>
    <row r="20" spans="1:26" ht="15" customHeight="1" x14ac:dyDescent="0.3">
      <c r="A20" s="22" t="s">
        <v>88</v>
      </c>
      <c r="B20" s="126" t="s">
        <v>91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8"/>
      <c r="U20" s="78"/>
      <c r="V20" s="78"/>
      <c r="W20" s="78"/>
      <c r="X20" s="78"/>
      <c r="Y20" s="79"/>
      <c r="Z20" s="10"/>
    </row>
    <row r="21" spans="1:26" ht="15" customHeight="1" x14ac:dyDescent="0.3">
      <c r="A21" s="3" t="s">
        <v>36</v>
      </c>
      <c r="B21" s="126" t="s">
        <v>61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8"/>
      <c r="U21" s="78"/>
      <c r="V21" s="78"/>
      <c r="W21" s="78"/>
      <c r="X21" s="78"/>
      <c r="Y21" s="79"/>
      <c r="Z21" s="10"/>
    </row>
    <row r="22" spans="1:26" ht="15" customHeight="1" x14ac:dyDescent="0.3">
      <c r="A22" s="3" t="s">
        <v>24</v>
      </c>
      <c r="B22" s="126" t="s">
        <v>62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78"/>
      <c r="V22" s="78"/>
      <c r="W22" s="78"/>
      <c r="X22" s="78"/>
      <c r="Y22" s="79"/>
      <c r="Z22" s="10"/>
    </row>
    <row r="23" spans="1:26" ht="15" customHeight="1" x14ac:dyDescent="0.3">
      <c r="A23" s="3" t="s">
        <v>25</v>
      </c>
      <c r="B23" s="126" t="s">
        <v>63</v>
      </c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78"/>
      <c r="V23" s="78"/>
      <c r="W23" s="78"/>
      <c r="X23" s="78"/>
      <c r="Y23" s="79"/>
      <c r="Z23" s="10">
        <f>U15</f>
        <v>47840000</v>
      </c>
    </row>
    <row r="24" spans="1:26" ht="15" customHeight="1" x14ac:dyDescent="0.3">
      <c r="A24" s="3" t="s">
        <v>26</v>
      </c>
      <c r="B24" s="126" t="s">
        <v>64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8"/>
      <c r="U24" s="78"/>
      <c r="V24" s="78"/>
      <c r="W24" s="78"/>
      <c r="X24" s="78"/>
      <c r="Y24" s="79"/>
      <c r="Z24" s="10"/>
    </row>
    <row r="25" spans="1:26" ht="15" customHeight="1" x14ac:dyDescent="0.3">
      <c r="A25" s="3" t="s">
        <v>37</v>
      </c>
      <c r="B25" s="126" t="s">
        <v>38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  <c r="U25" s="78"/>
      <c r="V25" s="78"/>
      <c r="W25" s="78"/>
      <c r="X25" s="78"/>
      <c r="Y25" s="79"/>
      <c r="Z25" s="10"/>
    </row>
    <row r="26" spans="1:26" ht="15" customHeight="1" x14ac:dyDescent="0.3">
      <c r="A26" s="3" t="s">
        <v>94</v>
      </c>
      <c r="B26" s="126" t="s">
        <v>95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8"/>
      <c r="U26" s="78"/>
      <c r="V26" s="78"/>
      <c r="W26" s="78"/>
      <c r="X26" s="78"/>
      <c r="Y26" s="79"/>
      <c r="Z26" s="10"/>
    </row>
    <row r="27" spans="1:26" ht="15" customHeight="1" x14ac:dyDescent="0.3">
      <c r="A27" s="3" t="s">
        <v>29</v>
      </c>
      <c r="B27" s="126" t="s">
        <v>89</v>
      </c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8"/>
      <c r="U27" s="78"/>
      <c r="V27" s="78"/>
      <c r="W27" s="78"/>
      <c r="X27" s="78"/>
      <c r="Y27" s="79"/>
      <c r="Z27" s="10"/>
    </row>
    <row r="28" spans="1:26" ht="15" customHeight="1" x14ac:dyDescent="0.3">
      <c r="A28" s="3" t="s">
        <v>33</v>
      </c>
      <c r="B28" s="126" t="s">
        <v>98</v>
      </c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8"/>
      <c r="U28" s="78"/>
      <c r="V28" s="78"/>
      <c r="W28" s="78"/>
      <c r="X28" s="78"/>
      <c r="Y28" s="79"/>
      <c r="Z28" s="10"/>
    </row>
    <row r="29" spans="1:26" ht="15" customHeight="1" x14ac:dyDescent="0.3">
      <c r="A29" s="3" t="s">
        <v>30</v>
      </c>
      <c r="B29" s="126" t="s">
        <v>90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8"/>
      <c r="U29" s="78"/>
      <c r="V29" s="78"/>
      <c r="W29" s="78"/>
      <c r="X29" s="78"/>
      <c r="Y29" s="79"/>
      <c r="Z29" s="10"/>
    </row>
    <row r="30" spans="1:26" ht="15" customHeight="1" x14ac:dyDescent="0.3">
      <c r="A30" s="3" t="s">
        <v>92</v>
      </c>
      <c r="B30" s="126" t="s">
        <v>93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8"/>
      <c r="U30" s="78"/>
      <c r="V30" s="78"/>
      <c r="W30" s="78"/>
      <c r="X30" s="78"/>
      <c r="Y30" s="79"/>
      <c r="Z30" s="10"/>
    </row>
    <row r="31" spans="1:26" ht="15" customHeight="1" x14ac:dyDescent="0.3">
      <c r="A31" s="3" t="s">
        <v>31</v>
      </c>
      <c r="B31" s="126" t="s">
        <v>32</v>
      </c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8"/>
      <c r="U31" s="78"/>
      <c r="V31" s="78"/>
      <c r="W31" s="78"/>
      <c r="X31" s="78"/>
      <c r="Y31" s="79"/>
      <c r="Z31" s="10"/>
    </row>
    <row r="32" spans="1:26" ht="15" customHeight="1" x14ac:dyDescent="0.3">
      <c r="A32" s="4" t="s">
        <v>40</v>
      </c>
      <c r="B32" s="133" t="s">
        <v>96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5"/>
      <c r="U32" s="80"/>
      <c r="V32" s="80"/>
      <c r="W32" s="80"/>
      <c r="X32" s="80"/>
      <c r="Y32" s="81"/>
      <c r="Z32" s="10"/>
    </row>
    <row r="33" spans="1:26" s="11" customFormat="1" ht="15" customHeight="1" x14ac:dyDescent="0.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15"/>
    </row>
    <row r="34" spans="1:26" ht="15" customHeight="1" x14ac:dyDescent="0.3">
      <c r="A34" s="129" t="s">
        <v>41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74"/>
      <c r="Q34" s="74"/>
      <c r="R34" s="74"/>
      <c r="S34" s="74"/>
      <c r="T34" s="74"/>
      <c r="U34" s="74"/>
      <c r="V34" s="74"/>
      <c r="W34" s="74"/>
      <c r="X34" s="74"/>
      <c r="Y34" s="74"/>
    </row>
    <row r="35" spans="1:26" ht="20.100000000000001" customHeight="1" x14ac:dyDescent="0.3">
      <c r="A35" s="5" t="s">
        <v>42</v>
      </c>
      <c r="B35" s="91" t="s">
        <v>66</v>
      </c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 t="s">
        <v>43</v>
      </c>
      <c r="N35" s="92"/>
      <c r="O35" s="91" t="s">
        <v>44</v>
      </c>
      <c r="P35" s="91"/>
      <c r="Q35" s="91"/>
      <c r="R35" s="91"/>
      <c r="S35" s="91"/>
      <c r="T35" s="91"/>
      <c r="U35" s="91"/>
      <c r="V35" s="91"/>
      <c r="W35" s="91"/>
      <c r="X35" s="91"/>
      <c r="Y35" s="93"/>
    </row>
    <row r="36" spans="1:26" ht="20.100000000000001" customHeight="1" x14ac:dyDescent="0.3">
      <c r="A36" s="6" t="s">
        <v>33</v>
      </c>
      <c r="B36" s="85" t="s">
        <v>67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6" t="s">
        <v>45</v>
      </c>
      <c r="N36" s="86"/>
      <c r="O36" s="85" t="s">
        <v>44</v>
      </c>
      <c r="P36" s="85"/>
      <c r="Q36" s="85"/>
      <c r="R36" s="85"/>
      <c r="S36" s="85"/>
      <c r="T36" s="85"/>
      <c r="U36" s="85"/>
      <c r="V36" s="85"/>
      <c r="W36" s="85"/>
      <c r="X36" s="85"/>
      <c r="Y36" s="87"/>
    </row>
    <row r="37" spans="1:26" ht="20.100000000000001" customHeight="1" x14ac:dyDescent="0.3">
      <c r="A37" s="6" t="s">
        <v>46</v>
      </c>
      <c r="B37" s="85" t="s">
        <v>44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 t="s">
        <v>47</v>
      </c>
      <c r="N37" s="86"/>
      <c r="O37" s="85" t="s">
        <v>44</v>
      </c>
      <c r="P37" s="85"/>
      <c r="Q37" s="85"/>
      <c r="R37" s="85"/>
      <c r="S37" s="85"/>
      <c r="T37" s="85"/>
      <c r="U37" s="85"/>
      <c r="V37" s="85"/>
      <c r="W37" s="85"/>
      <c r="X37" s="85"/>
      <c r="Y37" s="87"/>
    </row>
    <row r="38" spans="1:26" ht="20.100000000000001" customHeight="1" x14ac:dyDescent="0.3">
      <c r="A38" s="7" t="s">
        <v>48</v>
      </c>
      <c r="B38" s="88" t="s">
        <v>68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9" t="s">
        <v>49</v>
      </c>
      <c r="N38" s="89"/>
      <c r="O38" s="88" t="s">
        <v>44</v>
      </c>
      <c r="P38" s="88"/>
      <c r="Q38" s="88"/>
      <c r="R38" s="88"/>
      <c r="S38" s="88"/>
      <c r="T38" s="88"/>
      <c r="U38" s="88"/>
      <c r="V38" s="88"/>
      <c r="W38" s="88"/>
      <c r="X38" s="88"/>
      <c r="Y38" s="90"/>
    </row>
    <row r="39" spans="1:26" ht="5.0999999999999996" customHeight="1" x14ac:dyDescent="0.3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</row>
    <row r="40" spans="1:26" ht="20.100000000000001" customHeight="1" x14ac:dyDescent="0.3">
      <c r="A40" s="44" t="s">
        <v>50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6" ht="20.100000000000001" customHeight="1" x14ac:dyDescent="0.3">
      <c r="A41" s="95" t="s">
        <v>72</v>
      </c>
      <c r="B41" s="98" t="s">
        <v>99</v>
      </c>
      <c r="C41" s="98"/>
      <c r="D41" s="98"/>
      <c r="E41" s="98"/>
      <c r="F41" s="98"/>
      <c r="G41" s="99" t="b">
        <v>0</v>
      </c>
      <c r="H41" s="99"/>
      <c r="I41" s="100"/>
      <c r="J41" s="100"/>
      <c r="K41" s="100"/>
      <c r="L41" s="100"/>
      <c r="M41" s="100"/>
      <c r="N41" s="98" t="s">
        <v>58</v>
      </c>
      <c r="O41" s="98"/>
      <c r="P41" s="98"/>
      <c r="Q41" s="98"/>
      <c r="R41" s="98"/>
      <c r="S41" s="99" t="b">
        <v>0</v>
      </c>
      <c r="T41" s="99"/>
      <c r="U41" s="100">
        <v>1500000</v>
      </c>
      <c r="V41" s="100"/>
      <c r="W41" s="100"/>
      <c r="X41" s="100"/>
      <c r="Y41" s="101"/>
    </row>
    <row r="42" spans="1:26" ht="20.100000000000001" customHeight="1" x14ac:dyDescent="0.3">
      <c r="A42" s="96"/>
      <c r="B42" s="102" t="s">
        <v>84</v>
      </c>
      <c r="C42" s="102"/>
      <c r="D42" s="102"/>
      <c r="E42" s="102"/>
      <c r="F42" s="102"/>
      <c r="G42" s="103" t="b">
        <v>0</v>
      </c>
      <c r="H42" s="103"/>
      <c r="I42" s="104"/>
      <c r="J42" s="104"/>
      <c r="K42" s="104"/>
      <c r="L42" s="104"/>
      <c r="M42" s="104"/>
      <c r="N42" s="102" t="s">
        <v>73</v>
      </c>
      <c r="O42" s="102"/>
      <c r="P42" s="102"/>
      <c r="Q42" s="102"/>
      <c r="R42" s="102"/>
      <c r="S42" s="103" t="b">
        <v>0</v>
      </c>
      <c r="T42" s="103"/>
      <c r="U42" s="104">
        <v>900000</v>
      </c>
      <c r="V42" s="104"/>
      <c r="W42" s="104"/>
      <c r="X42" s="104"/>
      <c r="Y42" s="105"/>
    </row>
    <row r="43" spans="1:26" ht="20.100000000000001" customHeight="1" x14ac:dyDescent="0.3">
      <c r="A43" s="96"/>
      <c r="B43" s="102" t="s">
        <v>74</v>
      </c>
      <c r="C43" s="102"/>
      <c r="D43" s="102"/>
      <c r="E43" s="102"/>
      <c r="F43" s="102"/>
      <c r="G43" s="103" t="b">
        <v>0</v>
      </c>
      <c r="H43" s="103"/>
      <c r="I43" s="106">
        <v>2200000</v>
      </c>
      <c r="J43" s="106"/>
      <c r="K43" s="106"/>
      <c r="L43" s="106"/>
      <c r="M43" s="106"/>
      <c r="N43" s="102" t="s">
        <v>86</v>
      </c>
      <c r="O43" s="102"/>
      <c r="P43" s="102"/>
      <c r="Q43" s="102"/>
      <c r="R43" s="102"/>
      <c r="S43" s="103" t="b">
        <v>0</v>
      </c>
      <c r="T43" s="103"/>
      <c r="U43" s="106">
        <v>1500000</v>
      </c>
      <c r="V43" s="106"/>
      <c r="W43" s="106"/>
      <c r="X43" s="106"/>
      <c r="Y43" s="111"/>
    </row>
    <row r="44" spans="1:26" ht="20.100000000000001" customHeight="1" x14ac:dyDescent="0.3">
      <c r="A44" s="96"/>
      <c r="B44" s="102" t="s">
        <v>85</v>
      </c>
      <c r="C44" s="102"/>
      <c r="D44" s="102"/>
      <c r="E44" s="102"/>
      <c r="F44" s="102"/>
      <c r="G44" s="103" t="b">
        <v>0</v>
      </c>
      <c r="H44" s="103"/>
      <c r="I44" s="106">
        <v>2200000</v>
      </c>
      <c r="J44" s="106"/>
      <c r="K44" s="106"/>
      <c r="L44" s="106"/>
      <c r="M44" s="106"/>
      <c r="N44" s="102"/>
      <c r="O44" s="102"/>
      <c r="P44" s="102"/>
      <c r="Q44" s="102"/>
      <c r="R44" s="102"/>
      <c r="S44" s="103" t="b">
        <v>0</v>
      </c>
      <c r="T44" s="103"/>
      <c r="U44" s="106">
        <v>0</v>
      </c>
      <c r="V44" s="106"/>
      <c r="W44" s="106"/>
      <c r="X44" s="106"/>
      <c r="Y44" s="111"/>
    </row>
    <row r="45" spans="1:26" ht="20.100000000000001" customHeight="1" x14ac:dyDescent="0.3">
      <c r="A45" s="97"/>
      <c r="B45" s="107"/>
      <c r="C45" s="107"/>
      <c r="D45" s="107"/>
      <c r="E45" s="107"/>
      <c r="F45" s="107"/>
      <c r="G45" s="108" t="b">
        <v>0</v>
      </c>
      <c r="H45" s="108"/>
      <c r="I45" s="109">
        <v>0</v>
      </c>
      <c r="J45" s="109"/>
      <c r="K45" s="109"/>
      <c r="L45" s="109"/>
      <c r="M45" s="109"/>
      <c r="N45" s="107"/>
      <c r="O45" s="107"/>
      <c r="P45" s="107"/>
      <c r="Q45" s="107"/>
      <c r="R45" s="107"/>
      <c r="S45" s="108" t="b">
        <v>0</v>
      </c>
      <c r="T45" s="108"/>
      <c r="U45" s="109">
        <v>0</v>
      </c>
      <c r="V45" s="109"/>
      <c r="W45" s="109"/>
      <c r="X45" s="109"/>
      <c r="Y45" s="110"/>
    </row>
    <row r="46" spans="1:26" s="10" customFormat="1" ht="5.0999999999999996" customHeight="1" x14ac:dyDescent="0.3">
      <c r="A46" s="19"/>
      <c r="B46" s="20">
        <f>SUMIF(G41,TRUE,I41)</f>
        <v>0</v>
      </c>
      <c r="C46" s="20">
        <f>SUMIF(G42,TRUE,I42)</f>
        <v>0</v>
      </c>
      <c r="D46" s="20">
        <f>SUMIF(G43,TRUE,I43)</f>
        <v>0</v>
      </c>
      <c r="E46" s="20">
        <f>SUMIF(G44,TRUE,I44)</f>
        <v>0</v>
      </c>
      <c r="F46" s="20">
        <f>SUMIF(G45,TRUE,I45)</f>
        <v>0</v>
      </c>
      <c r="G46" s="20"/>
      <c r="H46" s="20"/>
      <c r="I46" s="20"/>
      <c r="J46" s="20"/>
      <c r="K46" s="20"/>
      <c r="L46" s="20"/>
      <c r="M46" s="20"/>
      <c r="N46" s="20">
        <f>SUMIF(S41,TRUE,U41)</f>
        <v>0</v>
      </c>
      <c r="O46" s="20">
        <f>SUMIF(S42,TRUE,U42)</f>
        <v>0</v>
      </c>
      <c r="P46" s="20">
        <f>SUMIF(S43,TRUE,U43)</f>
        <v>0</v>
      </c>
      <c r="Q46" s="20">
        <f>SUMIF(S44,TRUE,U44)</f>
        <v>0</v>
      </c>
      <c r="R46" s="20">
        <f>SUMIF(S45,TRUE,U45)</f>
        <v>0</v>
      </c>
      <c r="S46" s="20"/>
      <c r="T46" s="20"/>
      <c r="U46" s="20"/>
      <c r="V46" s="20"/>
      <c r="W46" s="20"/>
      <c r="X46" s="20"/>
      <c r="Y46" s="20"/>
      <c r="Z46" s="15">
        <f>SUM(B46:Y46)</f>
        <v>0</v>
      </c>
    </row>
    <row r="47" spans="1:26" ht="20.100000000000001" customHeight="1" x14ac:dyDescent="0.3">
      <c r="A47" s="44" t="s">
        <v>51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6" ht="20.100000000000001" customHeight="1" x14ac:dyDescent="0.3">
      <c r="A48" s="9" t="s">
        <v>52</v>
      </c>
      <c r="B48" s="121">
        <f>SUM(Z8:Z13)</f>
        <v>51160000</v>
      </c>
      <c r="C48" s="121"/>
      <c r="D48" s="121"/>
      <c r="E48" s="121"/>
      <c r="F48" s="121"/>
      <c r="G48" s="122" t="s">
        <v>53</v>
      </c>
      <c r="H48" s="122"/>
      <c r="I48" s="122"/>
      <c r="J48" s="121">
        <f>U15</f>
        <v>47840000</v>
      </c>
      <c r="K48" s="121"/>
      <c r="L48" s="121"/>
      <c r="M48" s="121"/>
      <c r="N48" s="121"/>
      <c r="O48" s="122" t="s">
        <v>54</v>
      </c>
      <c r="P48" s="122"/>
      <c r="Q48" s="122"/>
      <c r="R48" s="122"/>
      <c r="S48" s="122"/>
      <c r="T48" s="121">
        <f>Z46</f>
        <v>0</v>
      </c>
      <c r="U48" s="121"/>
      <c r="V48" s="121"/>
      <c r="W48" s="121"/>
      <c r="X48" s="121"/>
      <c r="Y48" s="123"/>
    </row>
    <row r="49" spans="1:29" ht="20.100000000000001" customHeight="1" x14ac:dyDescent="0.3">
      <c r="A49" s="116" t="s">
        <v>56</v>
      </c>
      <c r="B49" s="117"/>
      <c r="C49" s="117"/>
      <c r="D49" s="117"/>
      <c r="E49" s="117"/>
      <c r="F49" s="117"/>
      <c r="G49" s="117"/>
      <c r="H49" s="117"/>
      <c r="I49" s="117"/>
      <c r="J49" s="117"/>
      <c r="K49" s="118">
        <v>2000000</v>
      </c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20"/>
    </row>
    <row r="50" spans="1:29" ht="20.100000000000001" customHeight="1" x14ac:dyDescent="0.3">
      <c r="A50" s="136" t="s">
        <v>57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18">
        <f>K52-K49</f>
        <v>91000000</v>
      </c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20"/>
    </row>
    <row r="51" spans="1:29" ht="20.100000000000001" customHeight="1" x14ac:dyDescent="0.3">
      <c r="A51" s="138" t="s">
        <v>102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40">
        <v>-6000000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2"/>
    </row>
    <row r="52" spans="1:29" s="15" customFormat="1" ht="20.100000000000001" customHeight="1" x14ac:dyDescent="0.3">
      <c r="A52" s="112" t="s">
        <v>55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4">
        <f>SUM(B48,J48,T48,K51)</f>
        <v>93000000</v>
      </c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5"/>
      <c r="AA52" s="1"/>
      <c r="AB52" s="1"/>
      <c r="AC52" s="1"/>
    </row>
    <row r="53" spans="1:29" s="15" customFormat="1" ht="58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AA53" s="1"/>
      <c r="AB53" s="1"/>
      <c r="AC53" s="1"/>
    </row>
  </sheetData>
  <mergeCells count="134">
    <mergeCell ref="O3:U3"/>
    <mergeCell ref="B4:C4"/>
    <mergeCell ref="D4:J4"/>
    <mergeCell ref="K4:N4"/>
    <mergeCell ref="O4:U4"/>
    <mergeCell ref="B5:C5"/>
    <mergeCell ref="D5:U5"/>
    <mergeCell ref="A1:Y1"/>
    <mergeCell ref="A2:A5"/>
    <mergeCell ref="B2:C2"/>
    <mergeCell ref="D2:J2"/>
    <mergeCell ref="K2:N2"/>
    <mergeCell ref="O2:U2"/>
    <mergeCell ref="V2:Y5"/>
    <mergeCell ref="B3:C3"/>
    <mergeCell ref="D3:J3"/>
    <mergeCell ref="K3:N3"/>
    <mergeCell ref="V8:Y8"/>
    <mergeCell ref="B9:F9"/>
    <mergeCell ref="G9:H9"/>
    <mergeCell ref="I9:M9"/>
    <mergeCell ref="N9:R9"/>
    <mergeCell ref="S9:U9"/>
    <mergeCell ref="V9:Y9"/>
    <mergeCell ref="B6:I6"/>
    <mergeCell ref="J6:Q6"/>
    <mergeCell ref="R6:Y6"/>
    <mergeCell ref="A7:O7"/>
    <mergeCell ref="P7:Y7"/>
    <mergeCell ref="B8:F8"/>
    <mergeCell ref="G8:H8"/>
    <mergeCell ref="I8:M8"/>
    <mergeCell ref="N8:R8"/>
    <mergeCell ref="S8:U8"/>
    <mergeCell ref="B12:D12"/>
    <mergeCell ref="E12:I12"/>
    <mergeCell ref="J12:L12"/>
    <mergeCell ref="M12:Q12"/>
    <mergeCell ref="R12:T12"/>
    <mergeCell ref="U12:Y12"/>
    <mergeCell ref="B10:Y10"/>
    <mergeCell ref="B11:D11"/>
    <mergeCell ref="E11:I11"/>
    <mergeCell ref="J11:K11"/>
    <mergeCell ref="L11:O11"/>
    <mergeCell ref="P11:Q11"/>
    <mergeCell ref="R11:T11"/>
    <mergeCell ref="U11:Y11"/>
    <mergeCell ref="B13:M13"/>
    <mergeCell ref="N13:Y13"/>
    <mergeCell ref="A14:O14"/>
    <mergeCell ref="P14:Y14"/>
    <mergeCell ref="B15:T15"/>
    <mergeCell ref="U15:Y32"/>
    <mergeCell ref="B16:T16"/>
    <mergeCell ref="B17:T17"/>
    <mergeCell ref="B18:T18"/>
    <mergeCell ref="B19:T19"/>
    <mergeCell ref="B25:T25"/>
    <mergeCell ref="B26:T26"/>
    <mergeCell ref="B29:T29"/>
    <mergeCell ref="B31:T31"/>
    <mergeCell ref="B32:T32"/>
    <mergeCell ref="A33:Y33"/>
    <mergeCell ref="B20:T20"/>
    <mergeCell ref="B21:T21"/>
    <mergeCell ref="B22:T22"/>
    <mergeCell ref="B23:T23"/>
    <mergeCell ref="B24:T24"/>
    <mergeCell ref="B37:L37"/>
    <mergeCell ref="M37:N37"/>
    <mergeCell ref="O37:Y37"/>
    <mergeCell ref="B38:L38"/>
    <mergeCell ref="M38:N38"/>
    <mergeCell ref="O38:Y38"/>
    <mergeCell ref="A34:O34"/>
    <mergeCell ref="P34:Y34"/>
    <mergeCell ref="B35:L35"/>
    <mergeCell ref="M35:N35"/>
    <mergeCell ref="O35:Y35"/>
    <mergeCell ref="B36:L36"/>
    <mergeCell ref="M36:N36"/>
    <mergeCell ref="O36:Y36"/>
    <mergeCell ref="U43:Y43"/>
    <mergeCell ref="B44:F44"/>
    <mergeCell ref="G44:H44"/>
    <mergeCell ref="I44:M44"/>
    <mergeCell ref="N44:R44"/>
    <mergeCell ref="S44:T44"/>
    <mergeCell ref="U44:Y44"/>
    <mergeCell ref="G42:H42"/>
    <mergeCell ref="I42:M42"/>
    <mergeCell ref="N42:R42"/>
    <mergeCell ref="S42:T42"/>
    <mergeCell ref="U42:Y42"/>
    <mergeCell ref="B43:F43"/>
    <mergeCell ref="A52:J52"/>
    <mergeCell ref="K52:Y52"/>
    <mergeCell ref="A49:J49"/>
    <mergeCell ref="K49:Y49"/>
    <mergeCell ref="A50:J50"/>
    <mergeCell ref="K50:Y50"/>
    <mergeCell ref="A47:O47"/>
    <mergeCell ref="B48:F48"/>
    <mergeCell ref="G48:I48"/>
    <mergeCell ref="J48:N48"/>
    <mergeCell ref="O48:S48"/>
    <mergeCell ref="T48:Y48"/>
    <mergeCell ref="A51:J51"/>
    <mergeCell ref="K51:Y51"/>
    <mergeCell ref="I45:M45"/>
    <mergeCell ref="N45:R45"/>
    <mergeCell ref="S45:T45"/>
    <mergeCell ref="G43:H43"/>
    <mergeCell ref="I43:M43"/>
    <mergeCell ref="N43:R43"/>
    <mergeCell ref="S43:T43"/>
    <mergeCell ref="A17:A18"/>
    <mergeCell ref="B27:T27"/>
    <mergeCell ref="B28:T28"/>
    <mergeCell ref="B30:T30"/>
    <mergeCell ref="B45:F45"/>
    <mergeCell ref="G45:H45"/>
    <mergeCell ref="A39:Y39"/>
    <mergeCell ref="A40:O40"/>
    <mergeCell ref="A41:A45"/>
    <mergeCell ref="B41:F41"/>
    <mergeCell ref="G41:H41"/>
    <mergeCell ref="I41:M41"/>
    <mergeCell ref="N41:R41"/>
    <mergeCell ref="S41:T41"/>
    <mergeCell ref="U41:Y41"/>
    <mergeCell ref="B42:F42"/>
    <mergeCell ref="U45:Y45"/>
  </mergeCells>
  <phoneticPr fontId="1" type="noConversion"/>
  <conditionalFormatting sqref="B10">
    <cfRule type="expression" dxfId="20" priority="22">
      <formula>$B$10</formula>
    </cfRule>
  </conditionalFormatting>
  <conditionalFormatting sqref="B11:I11">
    <cfRule type="expression" dxfId="19" priority="12">
      <formula>$B$11</formula>
    </cfRule>
  </conditionalFormatting>
  <conditionalFormatting sqref="B12:I12">
    <cfRule type="expression" dxfId="18" priority="19">
      <formula>$B$12</formula>
    </cfRule>
  </conditionalFormatting>
  <conditionalFormatting sqref="B8:M8">
    <cfRule type="expression" dxfId="17" priority="11">
      <formula>$B$8</formula>
    </cfRule>
  </conditionalFormatting>
  <conditionalFormatting sqref="B9:M9">
    <cfRule type="expression" dxfId="16" priority="9">
      <formula>$B$9</formula>
    </cfRule>
  </conditionalFormatting>
  <conditionalFormatting sqref="B41:M41">
    <cfRule type="expression" dxfId="15" priority="16">
      <formula>$G$41</formula>
    </cfRule>
  </conditionalFormatting>
  <conditionalFormatting sqref="B42:M42">
    <cfRule type="expression" dxfId="14" priority="14">
      <formula>$G$42</formula>
    </cfRule>
  </conditionalFormatting>
  <conditionalFormatting sqref="B43:M43">
    <cfRule type="expression" dxfId="13" priority="7">
      <formula>$G$43</formula>
    </cfRule>
  </conditionalFormatting>
  <conditionalFormatting sqref="B44:M44">
    <cfRule type="expression" dxfId="12" priority="6">
      <formula>$G$44</formula>
    </cfRule>
  </conditionalFormatting>
  <conditionalFormatting sqref="B45:M45">
    <cfRule type="expression" dxfId="11" priority="5">
      <formula>$G$45</formula>
    </cfRule>
  </conditionalFormatting>
  <conditionalFormatting sqref="J11:Q11">
    <cfRule type="expression" dxfId="10" priority="21">
      <formula>$J$11</formula>
    </cfRule>
  </conditionalFormatting>
  <conditionalFormatting sqref="J12:Q12">
    <cfRule type="expression" dxfId="9" priority="18">
      <formula>$J$12</formula>
    </cfRule>
  </conditionalFormatting>
  <conditionalFormatting sqref="N41:U41">
    <cfRule type="expression" dxfId="8" priority="15">
      <formula>$S$41</formula>
    </cfRule>
  </conditionalFormatting>
  <conditionalFormatting sqref="N8:Y8">
    <cfRule type="expression" dxfId="7" priority="10">
      <formula>$N$8</formula>
    </cfRule>
  </conditionalFormatting>
  <conditionalFormatting sqref="N9:Y9">
    <cfRule type="expression" dxfId="6" priority="8">
      <formula>$N$9</formula>
    </cfRule>
  </conditionalFormatting>
  <conditionalFormatting sqref="N42:Y42">
    <cfRule type="expression" dxfId="5" priority="13">
      <formula>$S$42</formula>
    </cfRule>
  </conditionalFormatting>
  <conditionalFormatting sqref="N43:Y43">
    <cfRule type="expression" dxfId="4" priority="3">
      <formula>$S$43</formula>
    </cfRule>
    <cfRule type="expression" priority="4">
      <formula>$S$43</formula>
    </cfRule>
  </conditionalFormatting>
  <conditionalFormatting sqref="N44:Y44">
    <cfRule type="expression" dxfId="3" priority="2">
      <formula>$S$44</formula>
    </cfRule>
  </conditionalFormatting>
  <conditionalFormatting sqref="N45:Y45">
    <cfRule type="expression" dxfId="2" priority="1">
      <formula>$S$45</formula>
    </cfRule>
  </conditionalFormatting>
  <conditionalFormatting sqref="R11:Y11">
    <cfRule type="expression" dxfId="1" priority="20">
      <formula>$R$11</formula>
    </cfRule>
  </conditionalFormatting>
  <conditionalFormatting sqref="R12:Y12">
    <cfRule type="expression" dxfId="0" priority="17">
      <formula>$R$12</formula>
    </cfRule>
  </conditionalFormatting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79" orientation="portrait" r:id="rId1"/>
  <colBreaks count="1" manualBreakCount="1">
    <brk id="2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Check Box 1">
              <controlPr defaultSize="0" autoFill="0" autoLine="0" autoPict="0">
                <anchor moveWithCells="1">
                  <from>
                    <xdr:col>5</xdr:col>
                    <xdr:colOff>47625</xdr:colOff>
                    <xdr:row>7</xdr:row>
                    <xdr:rowOff>28575</xdr:rowOff>
                  </from>
                  <to>
                    <xdr:col>5</xdr:col>
                    <xdr:colOff>266700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Check Box 2">
              <controlPr defaultSize="0" autoFill="0" autoLine="0" autoPict="0">
                <anchor moveWithCells="1">
                  <from>
                    <xdr:col>5</xdr:col>
                    <xdr:colOff>47625</xdr:colOff>
                    <xdr:row>8</xdr:row>
                    <xdr:rowOff>28575</xdr:rowOff>
                  </from>
                  <to>
                    <xdr:col>5</xdr:col>
                    <xdr:colOff>266700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defaultSize="0" autoFill="0" autoLine="0" autoPict="0">
                <anchor moveWithCells="1">
                  <from>
                    <xdr:col>17</xdr:col>
                    <xdr:colOff>19050</xdr:colOff>
                    <xdr:row>7</xdr:row>
                    <xdr:rowOff>28575</xdr:rowOff>
                  </from>
                  <to>
                    <xdr:col>17</xdr:col>
                    <xdr:colOff>238125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Check Box 4">
              <controlPr defaultSize="0" autoFill="0" autoLine="0" autoPict="0">
                <anchor moveWithCells="1">
                  <from>
                    <xdr:col>10</xdr:col>
                    <xdr:colOff>266700</xdr:colOff>
                    <xdr:row>10</xdr:row>
                    <xdr:rowOff>28575</xdr:rowOff>
                  </from>
                  <to>
                    <xdr:col>11</xdr:col>
                    <xdr:colOff>133350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Check Box 5">
              <controlPr defaultSize="0" autoFill="0" autoLine="0" autoPict="0">
                <anchor moveWithCells="1">
                  <from>
                    <xdr:col>2</xdr:col>
                    <xdr:colOff>304800</xdr:colOff>
                    <xdr:row>11</xdr:row>
                    <xdr:rowOff>19050</xdr:rowOff>
                  </from>
                  <to>
                    <xdr:col>3</xdr:col>
                    <xdr:colOff>171450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Check Box 6">
              <controlPr defaultSize="0" autoFill="0" autoLine="0" autoPict="0">
                <anchor moveWithCells="1">
                  <from>
                    <xdr:col>19</xdr:col>
                    <xdr:colOff>47625</xdr:colOff>
                    <xdr:row>10</xdr:row>
                    <xdr:rowOff>28575</xdr:rowOff>
                  </from>
                  <to>
                    <xdr:col>19</xdr:col>
                    <xdr:colOff>266700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10" name="Check Box 7">
              <controlPr defaultSize="0" autoFill="0" autoLine="0" autoPict="0">
                <anchor moveWithCells="1">
                  <from>
                    <xdr:col>2</xdr:col>
                    <xdr:colOff>304800</xdr:colOff>
                    <xdr:row>10</xdr:row>
                    <xdr:rowOff>28575</xdr:rowOff>
                  </from>
                  <to>
                    <xdr:col>3</xdr:col>
                    <xdr:colOff>171450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4" r:id="rId11" name="Check Box 8">
              <controlPr defaultSize="0" autoFill="0" autoLine="0" autoPict="0">
                <anchor moveWithCells="1">
                  <from>
                    <xdr:col>10</xdr:col>
                    <xdr:colOff>266700</xdr:colOff>
                    <xdr:row>11</xdr:row>
                    <xdr:rowOff>28575</xdr:rowOff>
                  </from>
                  <to>
                    <xdr:col>11</xdr:col>
                    <xdr:colOff>133350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5" r:id="rId12" name="Check Box 9">
              <controlPr defaultSize="0" autoFill="0" autoLine="0" autoPict="0">
                <anchor moveWithCells="1">
                  <from>
                    <xdr:col>19</xdr:col>
                    <xdr:colOff>47625</xdr:colOff>
                    <xdr:row>11</xdr:row>
                    <xdr:rowOff>28575</xdr:rowOff>
                  </from>
                  <to>
                    <xdr:col>19</xdr:col>
                    <xdr:colOff>266700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13" name="Check Box 10">
              <controlPr defaultSize="0" autoFill="0" autoLine="0" autoPict="0">
                <anchor moveWithCells="1">
                  <from>
                    <xdr:col>6</xdr:col>
                    <xdr:colOff>209550</xdr:colOff>
                    <xdr:row>40</xdr:row>
                    <xdr:rowOff>28575</xdr:rowOff>
                  </from>
                  <to>
                    <xdr:col>7</xdr:col>
                    <xdr:colOff>28575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7" r:id="rId14" name="Check Box 11">
              <controlPr defaultSize="0" autoFill="0" autoLine="0" autoPict="0">
                <anchor moveWithCells="1">
                  <from>
                    <xdr:col>18</xdr:col>
                    <xdr:colOff>209550</xdr:colOff>
                    <xdr:row>40</xdr:row>
                    <xdr:rowOff>38100</xdr:rowOff>
                  </from>
                  <to>
                    <xdr:col>19</xdr:col>
                    <xdr:colOff>28575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15" name="Check Box 12">
              <controlPr defaultSize="0" autoFill="0" autoLine="0" autoPict="0">
                <anchor moveWithCells="1">
                  <from>
                    <xdr:col>18</xdr:col>
                    <xdr:colOff>209550</xdr:colOff>
                    <xdr:row>41</xdr:row>
                    <xdr:rowOff>38100</xdr:rowOff>
                  </from>
                  <to>
                    <xdr:col>19</xdr:col>
                    <xdr:colOff>47625</xdr:colOff>
                    <xdr:row>41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r:id="rId16" name="Check Box 13">
              <controlPr defaultSize="0" autoFill="0" autoLine="0" autoPict="0">
                <anchor moveWithCells="1">
                  <from>
                    <xdr:col>6</xdr:col>
                    <xdr:colOff>209550</xdr:colOff>
                    <xdr:row>41</xdr:row>
                    <xdr:rowOff>38100</xdr:rowOff>
                  </from>
                  <to>
                    <xdr:col>7</xdr:col>
                    <xdr:colOff>47625</xdr:colOff>
                    <xdr:row>41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0" r:id="rId17" name="Check Box 14">
              <controlPr defaultSize="0" autoFill="0" autoLine="0" autoPict="0">
                <anchor moveWithCells="1">
                  <from>
                    <xdr:col>6</xdr:col>
                    <xdr:colOff>209550</xdr:colOff>
                    <xdr:row>42</xdr:row>
                    <xdr:rowOff>28575</xdr:rowOff>
                  </from>
                  <to>
                    <xdr:col>7</xdr:col>
                    <xdr:colOff>47625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1" r:id="rId18" name="Check Box 15">
              <controlPr defaultSize="0" autoFill="0" autoLine="0" autoPict="0">
                <anchor moveWithCells="1">
                  <from>
                    <xdr:col>18</xdr:col>
                    <xdr:colOff>209550</xdr:colOff>
                    <xdr:row>42</xdr:row>
                    <xdr:rowOff>38100</xdr:rowOff>
                  </from>
                  <to>
                    <xdr:col>19</xdr:col>
                    <xdr:colOff>47625</xdr:colOff>
                    <xdr:row>42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2" r:id="rId19" name="Check Box 16">
              <controlPr defaultSize="0" autoFill="0" autoLine="0" autoPict="0">
                <anchor moveWithCells="1">
                  <from>
                    <xdr:col>17</xdr:col>
                    <xdr:colOff>19050</xdr:colOff>
                    <xdr:row>8</xdr:row>
                    <xdr:rowOff>28575</xdr:rowOff>
                  </from>
                  <to>
                    <xdr:col>17</xdr:col>
                    <xdr:colOff>238125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3" r:id="rId20" name="Check Box 17">
              <controlPr defaultSize="0" autoFill="0" autoLine="0" autoPict="0">
                <anchor moveWithCells="1">
                  <from>
                    <xdr:col>6</xdr:col>
                    <xdr:colOff>209550</xdr:colOff>
                    <xdr:row>43</xdr:row>
                    <xdr:rowOff>19050</xdr:rowOff>
                  </from>
                  <to>
                    <xdr:col>7</xdr:col>
                    <xdr:colOff>95250</xdr:colOff>
                    <xdr:row>43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4" r:id="rId21" name="Check Box 18">
              <controlPr defaultSize="0" autoFill="0" autoLine="0" autoPict="0">
                <anchor moveWithCells="1">
                  <from>
                    <xdr:col>18</xdr:col>
                    <xdr:colOff>209550</xdr:colOff>
                    <xdr:row>43</xdr:row>
                    <xdr:rowOff>38100</xdr:rowOff>
                  </from>
                  <to>
                    <xdr:col>19</xdr:col>
                    <xdr:colOff>57150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5" r:id="rId22" name="Check Box 19">
              <controlPr defaultSize="0" autoFill="0" autoLine="0" autoPict="0">
                <anchor moveWithCells="1">
                  <from>
                    <xdr:col>6</xdr:col>
                    <xdr:colOff>209550</xdr:colOff>
                    <xdr:row>44</xdr:row>
                    <xdr:rowOff>28575</xdr:rowOff>
                  </from>
                  <to>
                    <xdr:col>7</xdr:col>
                    <xdr:colOff>95250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6" r:id="rId23" name="Check Box 20">
              <controlPr defaultSize="0" autoFill="0" autoLine="0" autoPict="0">
                <anchor moveWithCells="1">
                  <from>
                    <xdr:col>18</xdr:col>
                    <xdr:colOff>209550</xdr:colOff>
                    <xdr:row>44</xdr:row>
                    <xdr:rowOff>28575</xdr:rowOff>
                  </from>
                  <to>
                    <xdr:col>19</xdr:col>
                    <xdr:colOff>95250</xdr:colOff>
                    <xdr:row>44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PA7</vt:lpstr>
      <vt:lpstr>PA4</vt:lpstr>
      <vt:lpstr>'PA4'!Print_Area</vt:lpstr>
      <vt:lpstr>'PA7'!Print_Area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현영 윤</dc:creator>
  <cp:lastModifiedBy>MARK YOON</cp:lastModifiedBy>
  <cp:lastPrinted>2025-09-19T06:39:54Z</cp:lastPrinted>
  <dcterms:created xsi:type="dcterms:W3CDTF">2024-10-09T02:59:59Z</dcterms:created>
  <dcterms:modified xsi:type="dcterms:W3CDTF">2025-09-27T04:27:10Z</dcterms:modified>
</cp:coreProperties>
</file>